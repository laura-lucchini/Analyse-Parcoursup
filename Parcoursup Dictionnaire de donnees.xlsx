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ldebe\Documents\_bootcamp_Fullstack_dafs-ft-15\13_projets_post_bootcamp\2026_01_Parcoursup\"/>
    </mc:Choice>
  </mc:AlternateContent>
  <xr:revisionPtr revIDLastSave="0" documentId="13_ncr:1_{02F66CAE-4F0E-4FFB-AA65-D65687F8ED99}" xr6:coauthVersionLast="47" xr6:coauthVersionMax="47" xr10:uidLastSave="{00000000-0000-0000-0000-000000000000}"/>
  <bookViews>
    <workbookView xWindow="-98" yWindow="-98" windowWidth="21795" windowHeight="13875" xr2:uid="{00000000-000D-0000-FFFF-FFFF00000000}"/>
  </bookViews>
  <sheets>
    <sheet name="Cartographie des formations" sheetId="2" r:id="rId1"/>
    <sheet name="Feuil2" sheetId="3" r:id="rId2"/>
  </sheets>
  <definedNames>
    <definedName name="_xlnm._FilterDatabase" localSheetId="0" hidden="1">'Cartographie des formations'!$A$1:$C$26</definedName>
    <definedName name="_xlnm._FilterDatabase" localSheetId="1" hidden="1">Feuil2!$A$1:$A$20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5" i="2" l="1"/>
  <c r="E4" i="2"/>
  <c r="E5" i="2"/>
  <c r="E6" i="2"/>
  <c r="E7" i="2"/>
  <c r="E8" i="2"/>
  <c r="E9" i="2"/>
  <c r="E10" i="2"/>
  <c r="E11" i="2"/>
  <c r="E13" i="2"/>
  <c r="E14" i="2"/>
  <c r="E15" i="2"/>
  <c r="E16" i="2"/>
  <c r="E17" i="2"/>
  <c r="E18" i="2"/>
  <c r="E20" i="2"/>
  <c r="E21" i="2"/>
  <c r="E22" i="2"/>
  <c r="E3" i="2"/>
</calcChain>
</file>

<file path=xl/sharedStrings.xml><?xml version="1.0" encoding="utf-8"?>
<sst xmlns="http://schemas.openxmlformats.org/spreadsheetml/2006/main" count="71" uniqueCount="71">
  <si>
    <t>annee</t>
  </si>
  <si>
    <t>etab_uai</t>
  </si>
  <si>
    <t>etab_nom</t>
  </si>
  <si>
    <t>tc</t>
  </si>
  <si>
    <t>tf</t>
  </si>
  <si>
    <t>nm</t>
  </si>
  <si>
    <t>fl</t>
  </si>
  <si>
    <t>app</t>
  </si>
  <si>
    <t>int</t>
  </si>
  <si>
    <t>amg</t>
  </si>
  <si>
    <t>aut</t>
  </si>
  <si>
    <t>region</t>
  </si>
  <si>
    <t>departement</t>
  </si>
  <si>
    <t>commune</t>
  </si>
  <si>
    <t>fiche</t>
  </si>
  <si>
    <t>dataviz</t>
  </si>
  <si>
    <t>etab_url</t>
  </si>
  <si>
    <t>etab_gps</t>
  </si>
  <si>
    <t>nmc</t>
  </si>
  <si>
    <t>gta</t>
  </si>
  <si>
    <t>gti</t>
  </si>
  <si>
    <t>etablissement_id_paysage</t>
  </si>
  <si>
    <t>composante_id_paysage</t>
  </si>
  <si>
    <t>rnd</t>
  </si>
  <si>
    <t>code_formation</t>
  </si>
  <si>
    <t>Type de formation</t>
  </si>
  <si>
    <t xml:space="preserve">Identifiant Etablissement </t>
  </si>
  <si>
    <t>Nom de la formation</t>
  </si>
  <si>
    <t>Mentions Spécialités</t>
  </si>
  <si>
    <t>Apprentissage</t>
  </si>
  <si>
    <t>Internat</t>
  </si>
  <si>
    <t>Aménagement</t>
  </si>
  <si>
    <t>Région</t>
  </si>
  <si>
    <t>Département</t>
  </si>
  <si>
    <t>Commune</t>
  </si>
  <si>
    <t>Lien vers la fiche formation</t>
  </si>
  <si>
    <t>Lien vers les données statistiques</t>
  </si>
  <si>
    <t>Nom court de la formation</t>
  </si>
  <si>
    <t>Identifiant unique de l’établissement dans Parcoursup (référentiel "Paysage" du ministère)</t>
  </si>
  <si>
    <r>
      <t>composante</t>
    </r>
    <r>
      <rPr>
        <sz val="11"/>
        <color theme="1"/>
        <rFont val="Calibri"/>
        <family val="2"/>
        <scheme val="minor"/>
      </rPr>
      <t xml:space="preserve"> (ou sous-structure) au sein d’un établissement. Une composante peut être une faculté, un institut, une école interne, ou un département spécifique. Par exemple, dans une université, une composante peut être la "Faculté de Droit", l’"IUT de Colmar", ou une "École d’Ingénieurs".</t>
    </r>
  </si>
  <si>
    <t>RND signifie généralement "Rang National de Désistement". Dans le contexte de Parcoursup, il s’agit du rang du dernier candidat appelé dans une formation, c’est-à-dire la position dans le classement à partir de laquelle les candidats ont reçu une proposition d’admission.
Ce rang est utilisé pour évaluer les chances d’admission des candidats en liste d’attente. Par exemple, si le RND est 50, cela signifie que tous les candidats classés jusqu’au 50ème rang ont reçu une proposition d’admission.</t>
  </si>
  <si>
    <t>Rang du dernier candidat appelé</t>
  </si>
  <si>
    <t>Ce terme désigne généralement un groupe spécifique de candidats (par exemple, selon leur type de baccalauréat, leur académie, ou leur situation particulière).
Dans les données Parcoursup, les candidats sont souvent classés par groupes (ex: bacheliers généraux, technologiques, professionnels), et chaque groupe peut avoir un traitement ou un classement distinct.</t>
  </si>
  <si>
    <t>Ce terme fait référence au mécanisme qui permet, en cas de désistement ou de non-inscription de candidats admis, de proposer des places à d’autres candidats en liste d’attente, même après la date limite initiale (ex: après le 12 juillet).
La GTA est un processus clé pour optimiser le remplissage des formations après les premières phases d’admission.</t>
  </si>
  <si>
    <t>Intitulé de colonne</t>
  </si>
  <si>
    <t>Libellé</t>
  </si>
  <si>
    <t>Description</t>
  </si>
  <si>
    <t>nom de l établissement</t>
  </si>
  <si>
    <t>Type d établissement</t>
  </si>
  <si>
    <t>Site internet de l étabilissement</t>
  </si>
  <si>
    <t>GTA   Gestion des Désistements en Phase d’Admission</t>
  </si>
  <si>
    <t>GTI   Groupe de Traitement des Inscriptions</t>
  </si>
  <si>
    <t>'etab_uai':'Identifiant Etablissement ',</t>
  </si>
  <si>
    <t>'etab_nom':'nom de l établissement',</t>
  </si>
  <si>
    <t>'tc':'Type d établissement',</t>
  </si>
  <si>
    <t>'tf':'Type de formation',</t>
  </si>
  <si>
    <t>'nm':'Nom de la formation',</t>
  </si>
  <si>
    <t>'fl':'Mentions Spécialités',</t>
  </si>
  <si>
    <t>'app':'Apprentissage',</t>
  </si>
  <si>
    <t>'int':'Internat',</t>
  </si>
  <si>
    <t>'amg':'Aménagement',</t>
  </si>
  <si>
    <t>'region':'Région',</t>
  </si>
  <si>
    <t>'departement':'Département',</t>
  </si>
  <si>
    <t>'commune':'Commune',</t>
  </si>
  <si>
    <t>'fiche':'Lien vers la fiche formation',</t>
  </si>
  <si>
    <t>'dataviz':'Lien vers les données statistiques',</t>
  </si>
  <si>
    <t>'etab_url':'Site internet de l étabilissement',</t>
  </si>
  <si>
    <t>'nmc':'Nom court de la formation',</t>
  </si>
  <si>
    <t>'gta':'GTA   Gestion des Désistements en Phase d’Admission',</t>
  </si>
  <si>
    <t>'gti':'GTI   Groupe de Traitement des Inscriptions',</t>
  </si>
  <si>
    <t>'rnd':'Rang du dernier candidat appelé'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</si>
</sst>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1"/>
      <name val="Calibri"/>
      <family val="2"/>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1" xfId="0" applyFont="1" applyBorder="1" applyAlignment="1">
      <alignment horizontal="center" vertical="top"/>
    </xf>
    <xf numFmtId="0" fontId="0" fillId="0" borderId="0" xfId="0" applyAlignment="1">
      <alignment wrapText="1"/>
    </xf>
    <xf numFmtId="0" fontId="0" fillId="0" borderId="1" xfId="0" applyBorder="1" applyAlignment="1">
      <alignment wrapText="1"/>
    </xf>
    <xf numFmtId="0" fontId="3" fillId="0" borderId="1" xfId="0" applyFont="1" applyBorder="1"/>
    <xf numFmtId="0" fontId="0" fillId="0" borderId="1" xfId="0" applyFont="1" applyBorder="1" applyAlignment="1">
      <alignment wrapText="1"/>
    </xf>
    <xf numFmtId="0" fontId="4" fillId="0" borderId="1" xfId="0" applyFont="1" applyBorder="1" applyAlignment="1">
      <alignment horizontal="center" vertical="top"/>
    </xf>
    <xf numFmtId="0" fontId="3" fillId="2" borderId="1" xfId="0" applyFont="1" applyFill="1" applyBorder="1" applyAlignment="1">
      <alignment horizontal="center"/>
    </xf>
    <xf numFmtId="0" fontId="3" fillId="2" borderId="1" xfId="0" applyFont="1" applyFill="1" applyBorder="1" applyAlignment="1">
      <alignment horizontal="center" wrapText="1"/>
    </xf>
    <xf numFmtId="0" fontId="3"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8FB1B-83FE-4241-9B21-F1114181609F}">
  <dimension ref="A1:E26"/>
  <sheetViews>
    <sheetView tabSelected="1" workbookViewId="0">
      <selection activeCell="A23" sqref="A23"/>
    </sheetView>
  </sheetViews>
  <sheetFormatPr baseColWidth="10" defaultRowHeight="14.25" x14ac:dyDescent="0.45"/>
  <cols>
    <col min="1" max="1" width="22.3984375" bestFit="1" customWidth="1"/>
    <col min="2" max="2" width="45.3984375" bestFit="1" customWidth="1"/>
    <col min="3" max="3" width="42.59765625" style="2" customWidth="1"/>
  </cols>
  <sheetData>
    <row r="1" spans="1:5" s="9" customFormat="1" x14ac:dyDescent="0.45">
      <c r="A1" s="7" t="s">
        <v>44</v>
      </c>
      <c r="B1" s="7" t="s">
        <v>45</v>
      </c>
      <c r="C1" s="8" t="s">
        <v>46</v>
      </c>
    </row>
    <row r="2" spans="1:5" x14ac:dyDescent="0.45">
      <c r="A2" s="1" t="s">
        <v>0</v>
      </c>
      <c r="B2" s="1"/>
      <c r="C2" s="3"/>
    </row>
    <row r="3" spans="1:5" x14ac:dyDescent="0.45">
      <c r="A3" s="1" t="s">
        <v>1</v>
      </c>
      <c r="B3" s="1" t="s">
        <v>26</v>
      </c>
      <c r="C3" s="3"/>
      <c r="E3" t="str">
        <f>"'"&amp;A3&amp;"':"&amp;"'"&amp;B3&amp;"',"</f>
        <v>'etab_uai':'Identifiant Etablissement ',</v>
      </c>
    </row>
    <row r="4" spans="1:5" x14ac:dyDescent="0.45">
      <c r="A4" s="1" t="s">
        <v>2</v>
      </c>
      <c r="B4" s="1" t="s">
        <v>47</v>
      </c>
      <c r="C4" s="3"/>
      <c r="E4" t="str">
        <f t="shared" ref="E4:E26" si="0">"'"&amp;A4&amp;"':"&amp;"'"&amp;B4&amp;"',"</f>
        <v>'etab_nom':'nom de l établissement',</v>
      </c>
    </row>
    <row r="5" spans="1:5" x14ac:dyDescent="0.45">
      <c r="A5" s="1" t="s">
        <v>3</v>
      </c>
      <c r="B5" s="1" t="s">
        <v>48</v>
      </c>
      <c r="C5" s="3"/>
      <c r="E5" t="str">
        <f t="shared" si="0"/>
        <v>'tc':'Type d établissement',</v>
      </c>
    </row>
    <row r="6" spans="1:5" x14ac:dyDescent="0.45">
      <c r="A6" s="1" t="s">
        <v>4</v>
      </c>
      <c r="B6" s="1" t="s">
        <v>25</v>
      </c>
      <c r="C6" s="3"/>
      <c r="E6" t="str">
        <f t="shared" si="0"/>
        <v>'tf':'Type de formation',</v>
      </c>
    </row>
    <row r="7" spans="1:5" x14ac:dyDescent="0.45">
      <c r="A7" s="1" t="s">
        <v>5</v>
      </c>
      <c r="B7" s="1" t="s">
        <v>27</v>
      </c>
      <c r="C7" s="3"/>
      <c r="E7" t="str">
        <f t="shared" si="0"/>
        <v>'nm':'Nom de la formation',</v>
      </c>
    </row>
    <row r="8" spans="1:5" x14ac:dyDescent="0.45">
      <c r="A8" s="1" t="s">
        <v>6</v>
      </c>
      <c r="B8" s="1" t="s">
        <v>28</v>
      </c>
      <c r="C8" s="3"/>
      <c r="E8" t="str">
        <f t="shared" si="0"/>
        <v>'fl':'Mentions Spécialités',</v>
      </c>
    </row>
    <row r="9" spans="1:5" x14ac:dyDescent="0.45">
      <c r="A9" s="1" t="s">
        <v>7</v>
      </c>
      <c r="B9" s="1" t="s">
        <v>29</v>
      </c>
      <c r="C9" s="3"/>
      <c r="E9" t="str">
        <f t="shared" si="0"/>
        <v>'app':'Apprentissage',</v>
      </c>
    </row>
    <row r="10" spans="1:5" x14ac:dyDescent="0.45">
      <c r="A10" s="1" t="s">
        <v>8</v>
      </c>
      <c r="B10" s="1" t="s">
        <v>30</v>
      </c>
      <c r="C10" s="3"/>
      <c r="E10" t="str">
        <f t="shared" si="0"/>
        <v>'int':'Internat',</v>
      </c>
    </row>
    <row r="11" spans="1:5" x14ac:dyDescent="0.45">
      <c r="A11" s="1" t="s">
        <v>9</v>
      </c>
      <c r="B11" s="1" t="s">
        <v>31</v>
      </c>
      <c r="C11" s="3"/>
      <c r="E11" t="str">
        <f t="shared" si="0"/>
        <v>'amg':'Aménagement',</v>
      </c>
    </row>
    <row r="12" spans="1:5" x14ac:dyDescent="0.45">
      <c r="A12" s="1" t="s">
        <v>10</v>
      </c>
      <c r="B12" s="1"/>
      <c r="C12" s="3"/>
    </row>
    <row r="13" spans="1:5" x14ac:dyDescent="0.45">
      <c r="A13" s="1" t="s">
        <v>11</v>
      </c>
      <c r="B13" s="1" t="s">
        <v>32</v>
      </c>
      <c r="C13" s="3"/>
      <c r="E13" t="str">
        <f t="shared" si="0"/>
        <v>'region':'Région',</v>
      </c>
    </row>
    <row r="14" spans="1:5" x14ac:dyDescent="0.45">
      <c r="A14" s="1" t="s">
        <v>12</v>
      </c>
      <c r="B14" s="1" t="s">
        <v>33</v>
      </c>
      <c r="C14" s="3"/>
      <c r="E14" t="str">
        <f t="shared" si="0"/>
        <v>'departement':'Département',</v>
      </c>
    </row>
    <row r="15" spans="1:5" x14ac:dyDescent="0.45">
      <c r="A15" s="1" t="s">
        <v>13</v>
      </c>
      <c r="B15" s="1" t="s">
        <v>34</v>
      </c>
      <c r="C15" s="3"/>
      <c r="E15" t="str">
        <f t="shared" si="0"/>
        <v>'commune':'Commune',</v>
      </c>
    </row>
    <row r="16" spans="1:5" x14ac:dyDescent="0.45">
      <c r="A16" s="1" t="s">
        <v>14</v>
      </c>
      <c r="B16" s="1" t="s">
        <v>35</v>
      </c>
      <c r="C16" s="3"/>
      <c r="E16" t="str">
        <f t="shared" si="0"/>
        <v>'fiche':'Lien vers la fiche formation',</v>
      </c>
    </row>
    <row r="17" spans="1:5" x14ac:dyDescent="0.45">
      <c r="A17" s="1" t="s">
        <v>15</v>
      </c>
      <c r="B17" s="1" t="s">
        <v>36</v>
      </c>
      <c r="C17" s="3"/>
      <c r="E17" t="str">
        <f t="shared" si="0"/>
        <v>'dataviz':'Lien vers les données statistiques',</v>
      </c>
    </row>
    <row r="18" spans="1:5" x14ac:dyDescent="0.45">
      <c r="A18" s="1" t="s">
        <v>16</v>
      </c>
      <c r="B18" s="1" t="s">
        <v>49</v>
      </c>
      <c r="C18" s="3"/>
      <c r="E18" t="str">
        <f t="shared" si="0"/>
        <v>'etab_url':'Site internet de l étabilissement',</v>
      </c>
    </row>
    <row r="19" spans="1:5" x14ac:dyDescent="0.45">
      <c r="A19" s="1" t="s">
        <v>17</v>
      </c>
      <c r="B19" s="1"/>
      <c r="C19" s="3"/>
    </row>
    <row r="20" spans="1:5" x14ac:dyDescent="0.45">
      <c r="A20" s="1" t="s">
        <v>18</v>
      </c>
      <c r="B20" s="1" t="s">
        <v>37</v>
      </c>
      <c r="C20" s="3"/>
      <c r="E20" t="str">
        <f t="shared" si="0"/>
        <v>'nmc':'Nom court de la formation',</v>
      </c>
    </row>
    <row r="21" spans="1:5" ht="114" x14ac:dyDescent="0.45">
      <c r="A21" s="1" t="s">
        <v>19</v>
      </c>
      <c r="B21" s="4" t="s">
        <v>50</v>
      </c>
      <c r="C21" s="3" t="s">
        <v>43</v>
      </c>
      <c r="E21" t="str">
        <f t="shared" si="0"/>
        <v>'gta':'GTA   Gestion des Désistements en Phase d’Admission',</v>
      </c>
    </row>
    <row r="22" spans="1:5" ht="128.25" x14ac:dyDescent="0.45">
      <c r="A22" s="1" t="s">
        <v>20</v>
      </c>
      <c r="B22" s="4" t="s">
        <v>51</v>
      </c>
      <c r="C22" s="3" t="s">
        <v>42</v>
      </c>
      <c r="E22" t="str">
        <f t="shared" si="0"/>
        <v>'gti':'GTI   Groupe de Traitement des Inscriptions',</v>
      </c>
    </row>
    <row r="23" spans="1:5" ht="28.5" x14ac:dyDescent="0.45">
      <c r="A23" s="1" t="s">
        <v>21</v>
      </c>
      <c r="B23" s="1"/>
      <c r="C23" s="3" t="s">
        <v>38</v>
      </c>
    </row>
    <row r="24" spans="1:5" ht="99.75" x14ac:dyDescent="0.45">
      <c r="A24" s="1" t="s">
        <v>22</v>
      </c>
      <c r="B24" s="1"/>
      <c r="C24" s="5" t="s">
        <v>39</v>
      </c>
    </row>
    <row r="25" spans="1:5" ht="156.75" x14ac:dyDescent="0.45">
      <c r="A25" s="1" t="s">
        <v>23</v>
      </c>
      <c r="B25" s="6" t="s">
        <v>41</v>
      </c>
      <c r="C25" s="3" t="s">
        <v>40</v>
      </c>
      <c r="E25" t="str">
        <f>"'"&amp;A25&amp;"':"&amp;"'"&amp;B25&amp;"'"</f>
        <v>'rnd':'Rang du dernier candidat appelé'</v>
      </c>
    </row>
    <row r="26" spans="1:5" x14ac:dyDescent="0.45">
      <c r="A26" s="1" t="s">
        <v>24</v>
      </c>
      <c r="B26" s="1"/>
      <c r="C26" s="3"/>
    </row>
  </sheetData>
  <autoFilter ref="A1:C26" xr:uid="{E448FB1B-83FE-4241-9B21-F1114181609F}"/>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23B73-DFDE-4CDF-96E2-E163961C93F8}">
  <dimension ref="A1:A20"/>
  <sheetViews>
    <sheetView workbookViewId="0">
      <selection activeCell="F29" sqref="F29"/>
    </sheetView>
  </sheetViews>
  <sheetFormatPr baseColWidth="10" defaultRowHeight="14.25" x14ac:dyDescent="0.45"/>
  <sheetData>
    <row r="1" spans="1:1" x14ac:dyDescent="0.45">
      <c r="A1" s="9"/>
    </row>
    <row r="2" spans="1:1" x14ac:dyDescent="0.45">
      <c r="A2" t="s">
        <v>52</v>
      </c>
    </row>
    <row r="3" spans="1:1" x14ac:dyDescent="0.45">
      <c r="A3" t="s">
        <v>53</v>
      </c>
    </row>
    <row r="4" spans="1:1" x14ac:dyDescent="0.45">
      <c r="A4" t="s">
        <v>54</v>
      </c>
    </row>
    <row r="5" spans="1:1" x14ac:dyDescent="0.45">
      <c r="A5" t="s">
        <v>55</v>
      </c>
    </row>
    <row r="6" spans="1:1" x14ac:dyDescent="0.45">
      <c r="A6" t="s">
        <v>56</v>
      </c>
    </row>
    <row r="7" spans="1:1" x14ac:dyDescent="0.45">
      <c r="A7" t="s">
        <v>57</v>
      </c>
    </row>
    <row r="8" spans="1:1" x14ac:dyDescent="0.45">
      <c r="A8" t="s">
        <v>58</v>
      </c>
    </row>
    <row r="9" spans="1:1" x14ac:dyDescent="0.45">
      <c r="A9" t="s">
        <v>59</v>
      </c>
    </row>
    <row r="10" spans="1:1" x14ac:dyDescent="0.45">
      <c r="A10" t="s">
        <v>60</v>
      </c>
    </row>
    <row r="11" spans="1:1" x14ac:dyDescent="0.45">
      <c r="A11" t="s">
        <v>61</v>
      </c>
    </row>
    <row r="12" spans="1:1" x14ac:dyDescent="0.45">
      <c r="A12" t="s">
        <v>62</v>
      </c>
    </row>
    <row r="13" spans="1:1" x14ac:dyDescent="0.45">
      <c r="A13" t="s">
        <v>63</v>
      </c>
    </row>
    <row r="14" spans="1:1" x14ac:dyDescent="0.45">
      <c r="A14" t="s">
        <v>64</v>
      </c>
    </row>
    <row r="15" spans="1:1" x14ac:dyDescent="0.45">
      <c r="A15" t="s">
        <v>65</v>
      </c>
    </row>
    <row r="16" spans="1:1" x14ac:dyDescent="0.45">
      <c r="A16" t="s">
        <v>66</v>
      </c>
    </row>
    <row r="17" spans="1:1" x14ac:dyDescent="0.45">
      <c r="A17" t="s">
        <v>67</v>
      </c>
    </row>
    <row r="18" spans="1:1" x14ac:dyDescent="0.45">
      <c r="A18" t="s">
        <v>68</v>
      </c>
    </row>
    <row r="19" spans="1:1" x14ac:dyDescent="0.45">
      <c r="A19" t="s">
        <v>69</v>
      </c>
    </row>
    <row r="20" spans="1:1" x14ac:dyDescent="0.45">
      <c r="A20" t="s">
        <v>70</v>
      </c>
    </row>
  </sheetData>
  <autoFilter ref="A1:A20" xr:uid="{5D823B73-DFDE-4CDF-96E2-E163961C93F8}"/>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Cartographie des formations</vt:lpstr>
      <vt:lpstr>Feuil2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Laura LUCCHINI</cp:lastModifiedBy>
  <dcterms:created xsi:type="dcterms:W3CDTF">2026-01-22T07:56:06Z</dcterms:created>
  <dcterms:modified xsi:type="dcterms:W3CDTF">2026-01-22T13:38:43Z</dcterms:modified>
</cp:coreProperties>
</file>