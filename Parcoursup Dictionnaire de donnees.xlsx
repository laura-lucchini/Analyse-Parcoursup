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debe\Documents\_bootcamp_Fullstack_dafs-ft-15\13_projets_post_bootcamp\2026_01_Parcoursup\"/>
    </mc:Choice>
  </mc:AlternateContent>
  <xr:revisionPtr revIDLastSave="0" documentId="13_ncr:1_{452DF648-3D89-48CD-B827-0D8E1DAC908A}" xr6:coauthVersionLast="47" xr6:coauthVersionMax="47" xr10:uidLastSave="{00000000-0000-0000-0000-000000000000}"/>
  <bookViews>
    <workbookView xWindow="-98" yWindow="-98" windowWidth="21795" windowHeight="13875" activeTab="1" xr2:uid="{00000000-000D-0000-FFFF-FFFF00000000}"/>
  </bookViews>
  <sheets>
    <sheet name="Cartographie des formations" sheetId="2" r:id="rId1"/>
    <sheet name="voeux" sheetId="4" r:id="rId2"/>
  </sheets>
  <definedNames>
    <definedName name="_xlnm._FilterDatabase" localSheetId="0" hidden="1">'Cartographie des formations'!$A$1:$C$26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5" i="2" l="1"/>
  <c r="E4" i="2"/>
  <c r="E5" i="2"/>
  <c r="E6" i="2"/>
  <c r="E7" i="2"/>
  <c r="E8" i="2"/>
  <c r="E9" i="2"/>
  <c r="E10" i="2"/>
  <c r="E11" i="2"/>
  <c r="E13" i="2"/>
  <c r="E14" i="2"/>
  <c r="E15" i="2"/>
  <c r="E16" i="2"/>
  <c r="E17" i="2"/>
  <c r="E18" i="2"/>
  <c r="E20" i="2"/>
  <c r="E21" i="2"/>
  <c r="E22" i="2"/>
  <c r="E3" i="2"/>
</calcChain>
</file>

<file path=xl/sharedStrings.xml><?xml version="1.0" encoding="utf-8"?>
<sst xmlns="http://schemas.openxmlformats.org/spreadsheetml/2006/main" count="216" uniqueCount="205">
  <si>
    <t>annee</t>
  </si>
  <si>
    <t>etab_uai</t>
  </si>
  <si>
    <t>etab_nom</t>
  </si>
  <si>
    <t>tc</t>
  </si>
  <si>
    <t>tf</t>
  </si>
  <si>
    <t>nm</t>
  </si>
  <si>
    <t>fl</t>
  </si>
  <si>
    <t>app</t>
  </si>
  <si>
    <t>int</t>
  </si>
  <si>
    <t>amg</t>
  </si>
  <si>
    <t>aut</t>
  </si>
  <si>
    <t>region</t>
  </si>
  <si>
    <t>departement</t>
  </si>
  <si>
    <t>commune</t>
  </si>
  <si>
    <t>fiche</t>
  </si>
  <si>
    <t>dataviz</t>
  </si>
  <si>
    <t>etab_url</t>
  </si>
  <si>
    <t>etab_gps</t>
  </si>
  <si>
    <t>nmc</t>
  </si>
  <si>
    <t>gta</t>
  </si>
  <si>
    <t>gti</t>
  </si>
  <si>
    <t>etablissement_id_paysage</t>
  </si>
  <si>
    <t>composante_id_paysage</t>
  </si>
  <si>
    <t>rnd</t>
  </si>
  <si>
    <t>code_formation</t>
  </si>
  <si>
    <t>Type de formation</t>
  </si>
  <si>
    <t xml:space="preserve">Identifiant Etablissement </t>
  </si>
  <si>
    <t>Nom de la formation</t>
  </si>
  <si>
    <t>Mentions Spécialités</t>
  </si>
  <si>
    <t>Apprentissage</t>
  </si>
  <si>
    <t>Internat</t>
  </si>
  <si>
    <t>Aménagement</t>
  </si>
  <si>
    <t>Région</t>
  </si>
  <si>
    <t>Département</t>
  </si>
  <si>
    <t>Commune</t>
  </si>
  <si>
    <t>Lien vers la fiche formation</t>
  </si>
  <si>
    <t>Lien vers les données statistiques</t>
  </si>
  <si>
    <t>Nom court de la formation</t>
  </si>
  <si>
    <t>Identifiant unique de l’établissement dans Parcoursup (référentiel "Paysage" du ministère)</t>
  </si>
  <si>
    <r>
      <t>composante</t>
    </r>
    <r>
      <rPr>
        <sz val="11"/>
        <color theme="1"/>
        <rFont val="Calibri"/>
        <family val="2"/>
        <scheme val="minor"/>
      </rPr>
      <t xml:space="preserve"> (ou sous-structure) au sein d’un établissement. Une composante peut être une faculté, un institut, une école interne, ou un département spécifique. Par exemple, dans une université, une composante peut être la "Faculté de Droit", l’"IUT de Colmar", ou une "École d’Ingénieurs".</t>
    </r>
  </si>
  <si>
    <t>RND signifie généralement "Rang National de Désistement". Dans le contexte de Parcoursup, il s’agit du rang du dernier candidat appelé dans une formation, c’est-à-dire la position dans le classement à partir de laquelle les candidats ont reçu une proposition d’admission.
Ce rang est utilisé pour évaluer les chances d’admission des candidats en liste d’attente. Par exemple, si le RND est 50, cela signifie que tous les candidats classés jusqu’au 50ème rang ont reçu une proposition d’admission.</t>
  </si>
  <si>
    <t>Rang du dernier candidat appelé</t>
  </si>
  <si>
    <t>Ce terme désigne généralement un groupe spécifique de candidats (par exemple, selon leur type de baccalauréat, leur académie, ou leur situation particulière).
Dans les données Parcoursup, les candidats sont souvent classés par groupes (ex: bacheliers généraux, technologiques, professionnels), et chaque groupe peut avoir un traitement ou un classement distinct.</t>
  </si>
  <si>
    <t>Ce terme fait référence au mécanisme qui permet, en cas de désistement ou de non-inscription de candidats admis, de proposer des places à d’autres candidats en liste d’attente, même après la date limite initiale (ex: après le 12 juillet).
La GTA est un processus clé pour optimiser le remplissage des formations après les premières phases d’admission.</t>
  </si>
  <si>
    <t>Intitulé de colonne</t>
  </si>
  <si>
    <t>Libellé</t>
  </si>
  <si>
    <t>Description</t>
  </si>
  <si>
    <t>nom de l établissement</t>
  </si>
  <si>
    <t>Type d établissement</t>
  </si>
  <si>
    <t>Site internet de l étabilissement</t>
  </si>
  <si>
    <t>GTA   Gestion des Désistements en Phase d’Admission</t>
  </si>
  <si>
    <t>GTI   Groupe de Traitement des Inscriptions</t>
  </si>
  <si>
    <t>session</t>
  </si>
  <si>
    <t>cod_uai</t>
  </si>
  <si>
    <t>g_ea_lib_vx</t>
  </si>
  <si>
    <t>dep</t>
  </si>
  <si>
    <t>dep_lib</t>
  </si>
  <si>
    <t>region_etab_aff</t>
  </si>
  <si>
    <t>acad_mies</t>
  </si>
  <si>
    <t>fili</t>
  </si>
  <si>
    <t>form_lib_voe_acc</t>
  </si>
  <si>
    <t>regr_forma</t>
  </si>
  <si>
    <t>fil_lib_voe_acc</t>
  </si>
  <si>
    <t>detail_forma</t>
  </si>
  <si>
    <t>lien_form_psup</t>
  </si>
  <si>
    <t>g_olocalisation_des_formations</t>
  </si>
  <si>
    <t>capa_fin</t>
  </si>
  <si>
    <t>voe_tot</t>
  </si>
  <si>
    <t>voe_tot_f</t>
  </si>
  <si>
    <t>nb_voe_pp</t>
  </si>
  <si>
    <t>nb_voe_pp_internat</t>
  </si>
  <si>
    <t>nb_voe_pp_bg</t>
  </si>
  <si>
    <t>nb_voe_pp_bg_brs</t>
  </si>
  <si>
    <t>nb_voe_pp_bt</t>
  </si>
  <si>
    <t>nb_voe_pp_bt_brs</t>
  </si>
  <si>
    <t>nb_voe_pp_bp</t>
  </si>
  <si>
    <t>nb_voe_pp_bp_brs</t>
  </si>
  <si>
    <t>nb_voe_pp_at</t>
  </si>
  <si>
    <t>nb_voe_pc</t>
  </si>
  <si>
    <t>nb_voe_pc_bg</t>
  </si>
  <si>
    <t>nb_voe_pc_bt</t>
  </si>
  <si>
    <t>nb_voe_pc_bp</t>
  </si>
  <si>
    <t>nb_voe_pc_at</t>
  </si>
  <si>
    <t>nb_cla_pp</t>
  </si>
  <si>
    <t>nb_cla_pc</t>
  </si>
  <si>
    <t>nb_cla_pp_internat</t>
  </si>
  <si>
    <t>nb_cla_pp_pasinternat</t>
  </si>
  <si>
    <t>nb_cla_pp_bg</t>
  </si>
  <si>
    <t>nb_cla_pp_bg_brs</t>
  </si>
  <si>
    <t>nb_cla_pp_bt</t>
  </si>
  <si>
    <t>nb_cla_pp_bt_brs</t>
  </si>
  <si>
    <t>nb_cla_pp_bp</t>
  </si>
  <si>
    <t>nb_cla_pp_bp_brs</t>
  </si>
  <si>
    <t>nb_cla_pp_at</t>
  </si>
  <si>
    <t>prop_tot</t>
  </si>
  <si>
    <t>rang_der_max</t>
  </si>
  <si>
    <t>acc_tot</t>
  </si>
  <si>
    <t>acc_tot_f</t>
  </si>
  <si>
    <t>acc_pp</t>
  </si>
  <si>
    <t>acc_pc</t>
  </si>
  <si>
    <t>acc_internat</t>
  </si>
  <si>
    <t>acc_brs</t>
  </si>
  <si>
    <t>acc_neobac</t>
  </si>
  <si>
    <t>acc_bg</t>
  </si>
  <si>
    <t>acc_bt</t>
  </si>
  <si>
    <t>acc_bp</t>
  </si>
  <si>
    <t>acc_at</t>
  </si>
  <si>
    <t>acc_mention_nonrenseignee</t>
  </si>
  <si>
    <t>acc_sansmention</t>
  </si>
  <si>
    <t>acc_ab</t>
  </si>
  <si>
    <t>acc_b</t>
  </si>
  <si>
    <t>acc_tb</t>
  </si>
  <si>
    <t>acc_bg_mention</t>
  </si>
  <si>
    <t>acc_bt_mention</t>
  </si>
  <si>
    <t>acc_bp_mention</t>
  </si>
  <si>
    <t>acc_term</t>
  </si>
  <si>
    <t>acc_term_f</t>
  </si>
  <si>
    <t>acc_aca_orig</t>
  </si>
  <si>
    <t>acc_aca_orig_idf</t>
  </si>
  <si>
    <t>pct_f</t>
  </si>
  <si>
    <t>pct_aca_orig</t>
  </si>
  <si>
    <t>pct_aca_orig_idf</t>
  </si>
  <si>
    <t>pct_etab_orig</t>
  </si>
  <si>
    <t>pct_bours</t>
  </si>
  <si>
    <t>pct_neobac</t>
  </si>
  <si>
    <t>pct_mention_nonrenseignee</t>
  </si>
  <si>
    <t>pct_sansmention</t>
  </si>
  <si>
    <t>pct_ab</t>
  </si>
  <si>
    <t>pct_b</t>
  </si>
  <si>
    <t>pct_tb</t>
  </si>
  <si>
    <t>pct_bg</t>
  </si>
  <si>
    <t>pct_bg_mention</t>
  </si>
  <si>
    <t>pct_bt</t>
  </si>
  <si>
    <t>pct_bt_mention</t>
  </si>
  <si>
    <t>pct_bp</t>
  </si>
  <si>
    <t>pct_bp_mention</t>
  </si>
  <si>
    <t>tri</t>
  </si>
  <si>
    <t>contrat_etab</t>
  </si>
  <si>
    <t>acc_debutpp</t>
  </si>
  <si>
    <t>acc_datebac</t>
  </si>
  <si>
    <t>acc_finpp</t>
  </si>
  <si>
    <t>pct_acc_debutpp</t>
  </si>
  <si>
    <t>pct_acc_datebac</t>
  </si>
  <si>
    <t>pct_acc_finpp</t>
  </si>
  <si>
    <t>select_form</t>
  </si>
  <si>
    <t>lib_comp_voe_ins</t>
  </si>
  <si>
    <t>prop_tot_bg</t>
  </si>
  <si>
    <t>prop_tot_bg_brs</t>
  </si>
  <si>
    <t>prop_tot_bt</t>
  </si>
  <si>
    <t>prop_tot_bt_brs</t>
  </si>
  <si>
    <t>prop_tot_bp</t>
  </si>
  <si>
    <t>prop_tot_bp_brs</t>
  </si>
  <si>
    <t>prop_tot_at</t>
  </si>
  <si>
    <t>lib_grp1</t>
  </si>
  <si>
    <t>ran_grp1</t>
  </si>
  <si>
    <t>lib_grp2</t>
  </si>
  <si>
    <t>ran_grp2</t>
  </si>
  <si>
    <t>lib_grp3</t>
  </si>
  <si>
    <t>ran_grp3</t>
  </si>
  <si>
    <t>lib_grp4</t>
  </si>
  <si>
    <t>ran_grp4</t>
  </si>
  <si>
    <t>lib_grp5</t>
  </si>
  <si>
    <t>ran_grp5</t>
  </si>
  <si>
    <t>taux_adm_psup</t>
  </si>
  <si>
    <t>taux_adm_psup_pro</t>
  </si>
  <si>
    <t>taux_adm_psup_gen</t>
  </si>
  <si>
    <t>taux_adm_psup_techno</t>
  </si>
  <si>
    <t>cod_aff_form</t>
  </si>
  <si>
    <t>ville_etab</t>
  </si>
  <si>
    <t>lib_for_voe_ins</t>
  </si>
  <si>
    <t>detail_forma2</t>
  </si>
  <si>
    <t>acc_tbf</t>
  </si>
  <si>
    <t>pct_tbf</t>
  </si>
  <si>
    <t>list_com</t>
  </si>
  <si>
    <t>taux_acces_ens</t>
  </si>
  <si>
    <t>part_acces_gen</t>
  </si>
  <si>
    <t>part_acces_tec</t>
  </si>
  <si>
    <t>part_acces_pro</t>
  </si>
  <si>
    <t>1_universités</t>
  </si>
  <si>
    <t xml:space="preserve">Numéro Département </t>
  </si>
  <si>
    <t>Académie</t>
  </si>
  <si>
    <t>2025</t>
  </si>
  <si>
    <t>0755976N</t>
  </si>
  <si>
    <t>Université Paris Cité</t>
  </si>
  <si>
    <t>75</t>
  </si>
  <si>
    <t>Paris</t>
  </si>
  <si>
    <t>Ile-de-France</t>
  </si>
  <si>
    <t>PASS</t>
  </si>
  <si>
    <t>Licence - Sciences - technologies - santé</t>
  </si>
  <si>
    <t>Parcours d'Accès Spécifique Santé (PASS)</t>
  </si>
  <si>
    <t>https://dossierappel.parcoursup.fr/Candidats/public/fiches/afficherFicheFormation?g_ta_cod=28097&amp;typeBac=0&amp;originePc=0</t>
  </si>
  <si>
    <t>b'\x01\x01\x00\x00\x00\r\xe0-\x90\xa0\xb8\x02@\xa2b\x9c\xbf\tmH@'</t>
  </si>
  <si>
    <t>Public</t>
  </si>
  <si>
    <t>formation non sélective</t>
  </si>
  <si>
    <t>Université Paris Cité - Licence - Parcours d'Accès Spécifique Santé (PASS)</t>
  </si>
  <si>
    <t>Tous les candidats</t>
  </si>
  <si>
    <t>6208</t>
  </si>
  <si>
    <t>28097</t>
  </si>
  <si>
    <t>Paris  6e  Arrondissement</t>
  </si>
  <si>
    <t>Licence - Parcours d'Accès Spécifique Santé (PASS)</t>
  </si>
  <si>
    <t>Liste d'appel propre à cette formation</t>
  </si>
  <si>
    <t>27</t>
  </si>
  <si>
    <t>99</t>
  </si>
  <si>
    <t>1</t>
  </si>
  <si>
    <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</si>
</sst>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theme="1"/>
      <name val="Calibri"/>
      <family val="2"/>
      <scheme val="minor"/>
    </font>
    <font>
      <b/>
      <sz val="11"/>
      <name val="Calibri"/>
      <family val="2"/>
    </font>
  </fonts>
  <fills count="4">
    <fill>
      <patternFill patternType="none"/>
    </fill>
    <fill>
      <patternFill patternType="gray125"/>
    </fill>
    <fill>
      <patternFill patternType="solid">
        <fgColor theme="6" tint="0.79998168889431442"/>
        <bgColor indexed="64"/>
      </patternFill>
    </fill>
    <fill>
      <patternFill patternType="solid">
        <fgColor theme="7"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1" xfId="0" applyFont="1" applyBorder="1" applyAlignment="1">
      <alignment horizontal="center" vertical="top"/>
    </xf>
    <xf numFmtId="0" fontId="0" fillId="0" borderId="0" xfId="0" applyAlignment="1">
      <alignment wrapText="1"/>
    </xf>
    <xf numFmtId="0" fontId="0" fillId="0" borderId="1" xfId="0" applyBorder="1" applyAlignment="1">
      <alignment wrapText="1"/>
    </xf>
    <xf numFmtId="0" fontId="2" fillId="0" borderId="1" xfId="0" applyFont="1" applyBorder="1"/>
    <xf numFmtId="0" fontId="3" fillId="0" borderId="1" xfId="0" applyFont="1" applyBorder="1" applyAlignment="1">
      <alignment horizontal="center" vertical="top"/>
    </xf>
    <xf numFmtId="0" fontId="2" fillId="2" borderId="1" xfId="0" applyFont="1" applyFill="1" applyBorder="1" applyAlignment="1">
      <alignment horizontal="center"/>
    </xf>
    <xf numFmtId="0" fontId="2" fillId="2" borderId="1" xfId="0" applyFont="1" applyFill="1" applyBorder="1" applyAlignment="1">
      <alignment horizontal="center" wrapText="1"/>
    </xf>
    <xf numFmtId="0" fontId="2" fillId="0" borderId="0" xfId="0" applyFont="1" applyAlignment="1">
      <alignment horizontal="center"/>
    </xf>
    <xf numFmtId="0" fontId="0" fillId="0" borderId="1" xfId="0" applyBorder="1"/>
    <xf numFmtId="0" fontId="1" fillId="3" borderId="1"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8FB1B-83FE-4241-9B21-F1114181609F}">
  <dimension ref="A1:E26"/>
  <sheetViews>
    <sheetView workbookViewId="0">
      <selection activeCell="B13" sqref="B13"/>
    </sheetView>
  </sheetViews>
  <sheetFormatPr baseColWidth="10" defaultRowHeight="14.25" x14ac:dyDescent="0.45"/>
  <cols>
    <col min="1" max="1" width="22.3984375" bestFit="1" customWidth="1"/>
    <col min="2" max="2" width="45.3984375" bestFit="1" customWidth="1"/>
    <col min="3" max="3" width="42.59765625" style="2" customWidth="1"/>
  </cols>
  <sheetData>
    <row r="1" spans="1:5" s="8" customFormat="1" x14ac:dyDescent="0.45">
      <c r="A1" s="6" t="s">
        <v>44</v>
      </c>
      <c r="B1" s="6" t="s">
        <v>45</v>
      </c>
      <c r="C1" s="7" t="s">
        <v>46</v>
      </c>
    </row>
    <row r="2" spans="1:5" x14ac:dyDescent="0.45">
      <c r="A2" s="1" t="s">
        <v>0</v>
      </c>
      <c r="B2" s="1"/>
      <c r="C2" s="3"/>
    </row>
    <row r="3" spans="1:5" x14ac:dyDescent="0.45">
      <c r="A3" s="1" t="s">
        <v>1</v>
      </c>
      <c r="B3" s="1" t="s">
        <v>26</v>
      </c>
      <c r="C3" s="3"/>
      <c r="E3" t="str">
        <f>"'"&amp;A3&amp;"':"&amp;"'"&amp;B3&amp;"',"</f>
        <v>'etab_uai':'Identifiant Etablissement ',</v>
      </c>
    </row>
    <row r="4" spans="1:5" x14ac:dyDescent="0.45">
      <c r="A4" s="1" t="s">
        <v>2</v>
      </c>
      <c r="B4" s="1" t="s">
        <v>47</v>
      </c>
      <c r="C4" s="3"/>
      <c r="E4" t="str">
        <f t="shared" ref="E4:E22" si="0">"'"&amp;A4&amp;"':"&amp;"'"&amp;B4&amp;"',"</f>
        <v>'etab_nom':'nom de l établissement',</v>
      </c>
    </row>
    <row r="5" spans="1:5" x14ac:dyDescent="0.45">
      <c r="A5" s="1" t="s">
        <v>3</v>
      </c>
      <c r="B5" s="1" t="s">
        <v>48</v>
      </c>
      <c r="C5" s="3"/>
      <c r="E5" t="str">
        <f t="shared" si="0"/>
        <v>'tc':'Type d établissement',</v>
      </c>
    </row>
    <row r="6" spans="1:5" x14ac:dyDescent="0.45">
      <c r="A6" s="1" t="s">
        <v>4</v>
      </c>
      <c r="B6" s="1" t="s">
        <v>25</v>
      </c>
      <c r="C6" s="3"/>
      <c r="E6" t="str">
        <f t="shared" si="0"/>
        <v>'tf':'Type de formation',</v>
      </c>
    </row>
    <row r="7" spans="1:5" x14ac:dyDescent="0.45">
      <c r="A7" s="1" t="s">
        <v>5</v>
      </c>
      <c r="B7" s="1" t="s">
        <v>27</v>
      </c>
      <c r="C7" s="3"/>
      <c r="E7" t="str">
        <f t="shared" si="0"/>
        <v>'nm':'Nom de la formation',</v>
      </c>
    </row>
    <row r="8" spans="1:5" x14ac:dyDescent="0.45">
      <c r="A8" s="1" t="s">
        <v>6</v>
      </c>
      <c r="B8" s="1" t="s">
        <v>28</v>
      </c>
      <c r="C8" s="3"/>
      <c r="E8" t="str">
        <f t="shared" si="0"/>
        <v>'fl':'Mentions Spécialités',</v>
      </c>
    </row>
    <row r="9" spans="1:5" x14ac:dyDescent="0.45">
      <c r="A9" s="1" t="s">
        <v>7</v>
      </c>
      <c r="B9" s="1" t="s">
        <v>29</v>
      </c>
      <c r="C9" s="3"/>
      <c r="E9" t="str">
        <f t="shared" si="0"/>
        <v>'app':'Apprentissage',</v>
      </c>
    </row>
    <row r="10" spans="1:5" x14ac:dyDescent="0.45">
      <c r="A10" s="1" t="s">
        <v>8</v>
      </c>
      <c r="B10" s="1" t="s">
        <v>30</v>
      </c>
      <c r="C10" s="3"/>
      <c r="E10" t="str">
        <f t="shared" si="0"/>
        <v>'int':'Internat',</v>
      </c>
    </row>
    <row r="11" spans="1:5" x14ac:dyDescent="0.45">
      <c r="A11" s="1" t="s">
        <v>9</v>
      </c>
      <c r="B11" s="1" t="s">
        <v>31</v>
      </c>
      <c r="C11" s="3"/>
      <c r="E11" t="str">
        <f t="shared" si="0"/>
        <v>'amg':'Aménagement',</v>
      </c>
    </row>
    <row r="12" spans="1:5" x14ac:dyDescent="0.45">
      <c r="A12" s="1" t="s">
        <v>10</v>
      </c>
      <c r="B12" s="1"/>
      <c r="C12" s="3"/>
    </row>
    <row r="13" spans="1:5" x14ac:dyDescent="0.45">
      <c r="A13" s="1" t="s">
        <v>11</v>
      </c>
      <c r="B13" s="1" t="s">
        <v>32</v>
      </c>
      <c r="C13" s="3"/>
      <c r="E13" t="str">
        <f t="shared" si="0"/>
        <v>'region':'Région',</v>
      </c>
    </row>
    <row r="14" spans="1:5" x14ac:dyDescent="0.45">
      <c r="A14" s="1" t="s">
        <v>12</v>
      </c>
      <c r="B14" s="1" t="s">
        <v>33</v>
      </c>
      <c r="C14" s="3"/>
      <c r="E14" t="str">
        <f t="shared" si="0"/>
        <v>'departement':'Département',</v>
      </c>
    </row>
    <row r="15" spans="1:5" x14ac:dyDescent="0.45">
      <c r="A15" s="1" t="s">
        <v>13</v>
      </c>
      <c r="B15" s="1" t="s">
        <v>34</v>
      </c>
      <c r="C15" s="3"/>
      <c r="E15" t="str">
        <f t="shared" si="0"/>
        <v>'commune':'Commune',</v>
      </c>
    </row>
    <row r="16" spans="1:5" x14ac:dyDescent="0.45">
      <c r="A16" s="1" t="s">
        <v>14</v>
      </c>
      <c r="B16" s="1" t="s">
        <v>35</v>
      </c>
      <c r="C16" s="3"/>
      <c r="E16" t="str">
        <f t="shared" si="0"/>
        <v>'fiche':'Lien vers la fiche formation',</v>
      </c>
    </row>
    <row r="17" spans="1:5" x14ac:dyDescent="0.45">
      <c r="A17" s="1" t="s">
        <v>15</v>
      </c>
      <c r="B17" s="1" t="s">
        <v>36</v>
      </c>
      <c r="C17" s="3"/>
      <c r="E17" t="str">
        <f t="shared" si="0"/>
        <v>'dataviz':'Lien vers les données statistiques',</v>
      </c>
    </row>
    <row r="18" spans="1:5" x14ac:dyDescent="0.45">
      <c r="A18" s="1" t="s">
        <v>16</v>
      </c>
      <c r="B18" s="1" t="s">
        <v>49</v>
      </c>
      <c r="C18" s="3"/>
      <c r="E18" t="str">
        <f t="shared" si="0"/>
        <v>'etab_url':'Site internet de l étabilissement',</v>
      </c>
    </row>
    <row r="19" spans="1:5" x14ac:dyDescent="0.45">
      <c r="A19" s="1" t="s">
        <v>17</v>
      </c>
      <c r="B19" s="1"/>
      <c r="C19" s="3"/>
    </row>
    <row r="20" spans="1:5" x14ac:dyDescent="0.45">
      <c r="A20" s="1" t="s">
        <v>18</v>
      </c>
      <c r="B20" s="1" t="s">
        <v>37</v>
      </c>
      <c r="C20" s="3"/>
      <c r="E20" t="str">
        <f t="shared" si="0"/>
        <v>'nmc':'Nom court de la formation',</v>
      </c>
    </row>
    <row r="21" spans="1:5" ht="114" x14ac:dyDescent="0.45">
      <c r="A21" s="1" t="s">
        <v>19</v>
      </c>
      <c r="B21" s="4" t="s">
        <v>50</v>
      </c>
      <c r="C21" s="3" t="s">
        <v>43</v>
      </c>
      <c r="E21" t="str">
        <f t="shared" si="0"/>
        <v>'gta':'GTA   Gestion des Désistements en Phase d’Admission',</v>
      </c>
    </row>
    <row r="22" spans="1:5" ht="128.25" x14ac:dyDescent="0.45">
      <c r="A22" s="1" t="s">
        <v>20</v>
      </c>
      <c r="B22" s="4" t="s">
        <v>51</v>
      </c>
      <c r="C22" s="3" t="s">
        <v>42</v>
      </c>
      <c r="E22" t="str">
        <f t="shared" si="0"/>
        <v>'gti':'GTI   Groupe de Traitement des Inscriptions',</v>
      </c>
    </row>
    <row r="23" spans="1:5" ht="28.5" x14ac:dyDescent="0.45">
      <c r="A23" s="1" t="s">
        <v>21</v>
      </c>
      <c r="B23" s="1"/>
      <c r="C23" s="3" t="s">
        <v>38</v>
      </c>
    </row>
    <row r="24" spans="1:5" ht="99.75" x14ac:dyDescent="0.45">
      <c r="A24" s="1" t="s">
        <v>22</v>
      </c>
      <c r="B24" s="1"/>
      <c r="C24" s="3" t="s">
        <v>39</v>
      </c>
    </row>
    <row r="25" spans="1:5" ht="156.75" x14ac:dyDescent="0.45">
      <c r="A25" s="1" t="s">
        <v>23</v>
      </c>
      <c r="B25" s="5" t="s">
        <v>41</v>
      </c>
      <c r="C25" s="3" t="s">
        <v>40</v>
      </c>
      <c r="E25" t="str">
        <f>"'"&amp;A25&amp;"':"&amp;"'"&amp;B25&amp;"'"</f>
        <v>'rnd':'Rang du dernier candidat appelé'</v>
      </c>
    </row>
    <row r="26" spans="1:5" x14ac:dyDescent="0.45">
      <c r="A26" s="1" t="s">
        <v>24</v>
      </c>
      <c r="B26" s="1"/>
      <c r="C26" s="3"/>
    </row>
  </sheetData>
  <autoFilter ref="A1:C26" xr:uid="{E448FB1B-83FE-4241-9B21-F1114181609F}"/>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927B7-B969-4A6A-BE8A-48EAA86AC440}">
  <dimension ref="A1:D129"/>
  <sheetViews>
    <sheetView tabSelected="1" workbookViewId="0">
      <selection activeCell="B23" sqref="B23"/>
    </sheetView>
  </sheetViews>
  <sheetFormatPr baseColWidth="10" defaultRowHeight="14.25" x14ac:dyDescent="0.45"/>
  <cols>
    <col min="1" max="1" width="25.796875" bestFit="1" customWidth="1"/>
    <col min="2" max="2" width="88.265625" bestFit="1" customWidth="1"/>
    <col min="3" max="3" width="25.46484375" customWidth="1"/>
    <col min="4" max="4" width="25.265625" customWidth="1"/>
  </cols>
  <sheetData>
    <row r="1" spans="1:4" x14ac:dyDescent="0.45">
      <c r="A1" s="6" t="s">
        <v>44</v>
      </c>
      <c r="B1" s="6"/>
      <c r="C1" s="6" t="s">
        <v>45</v>
      </c>
      <c r="D1" s="7" t="s">
        <v>46</v>
      </c>
    </row>
    <row r="2" spans="1:4" x14ac:dyDescent="0.45">
      <c r="A2" s="9" t="s">
        <v>52</v>
      </c>
      <c r="B2" s="9" t="s">
        <v>181</v>
      </c>
      <c r="C2" s="1" t="s">
        <v>0</v>
      </c>
      <c r="D2" s="9"/>
    </row>
    <row r="3" spans="1:4" x14ac:dyDescent="0.45">
      <c r="A3" s="9" t="s">
        <v>53</v>
      </c>
      <c r="B3" s="9" t="s">
        <v>182</v>
      </c>
      <c r="C3" s="10" t="s">
        <v>26</v>
      </c>
      <c r="D3" s="9"/>
    </row>
    <row r="4" spans="1:4" x14ac:dyDescent="0.45">
      <c r="A4" s="9" t="s">
        <v>54</v>
      </c>
      <c r="B4" s="9" t="s">
        <v>183</v>
      </c>
      <c r="C4" s="10" t="s">
        <v>47</v>
      </c>
      <c r="D4" s="9"/>
    </row>
    <row r="5" spans="1:4" x14ac:dyDescent="0.45">
      <c r="A5" s="9" t="s">
        <v>55</v>
      </c>
      <c r="B5" s="9" t="s">
        <v>184</v>
      </c>
      <c r="C5" s="1" t="s">
        <v>179</v>
      </c>
      <c r="D5" s="9"/>
    </row>
    <row r="6" spans="1:4" x14ac:dyDescent="0.45">
      <c r="A6" s="9" t="s">
        <v>56</v>
      </c>
      <c r="B6" s="9" t="s">
        <v>185</v>
      </c>
      <c r="C6" s="1" t="s">
        <v>33</v>
      </c>
      <c r="D6" s="9"/>
    </row>
    <row r="7" spans="1:4" x14ac:dyDescent="0.45">
      <c r="A7" s="9" t="s">
        <v>57</v>
      </c>
      <c r="B7" s="9" t="s">
        <v>186</v>
      </c>
      <c r="C7" s="1" t="s">
        <v>32</v>
      </c>
      <c r="D7" s="9"/>
    </row>
    <row r="8" spans="1:4" x14ac:dyDescent="0.45">
      <c r="A8" s="9" t="s">
        <v>58</v>
      </c>
      <c r="B8" s="9" t="s">
        <v>185</v>
      </c>
      <c r="C8" s="9" t="s">
        <v>180</v>
      </c>
      <c r="D8" s="9"/>
    </row>
    <row r="9" spans="1:4" x14ac:dyDescent="0.45">
      <c r="A9" s="9" t="s">
        <v>59</v>
      </c>
      <c r="B9" s="9" t="s">
        <v>187</v>
      </c>
      <c r="C9" s="9"/>
      <c r="D9" s="9"/>
    </row>
    <row r="10" spans="1:4" x14ac:dyDescent="0.45">
      <c r="A10" s="9" t="s">
        <v>60</v>
      </c>
      <c r="B10" s="9" t="s">
        <v>188</v>
      </c>
      <c r="C10" s="9"/>
      <c r="D10" s="9"/>
    </row>
    <row r="11" spans="1:4" x14ac:dyDescent="0.45">
      <c r="A11" s="9" t="s">
        <v>61</v>
      </c>
      <c r="B11" s="9"/>
      <c r="C11" s="9"/>
      <c r="D11" s="9"/>
    </row>
    <row r="12" spans="1:4" x14ac:dyDescent="0.45">
      <c r="A12" s="9" t="s">
        <v>62</v>
      </c>
      <c r="B12" s="9" t="s">
        <v>189</v>
      </c>
      <c r="C12" s="9"/>
      <c r="D12" s="9"/>
    </row>
    <row r="13" spans="1:4" x14ac:dyDescent="0.45">
      <c r="A13" s="9" t="s">
        <v>63</v>
      </c>
      <c r="B13" s="9"/>
      <c r="C13" s="9"/>
      <c r="D13" s="9"/>
    </row>
    <row r="14" spans="1:4" x14ac:dyDescent="0.45">
      <c r="A14" s="9" t="s">
        <v>64</v>
      </c>
      <c r="B14" s="9" t="s">
        <v>190</v>
      </c>
      <c r="C14" s="9"/>
      <c r="D14" s="9"/>
    </row>
    <row r="15" spans="1:4" x14ac:dyDescent="0.45">
      <c r="A15" s="9" t="s">
        <v>65</v>
      </c>
      <c r="B15" s="9" t="s">
        <v>191</v>
      </c>
      <c r="C15" s="9"/>
      <c r="D15" s="9"/>
    </row>
    <row r="16" spans="1:4" x14ac:dyDescent="0.45">
      <c r="A16" s="9" t="s">
        <v>66</v>
      </c>
      <c r="B16" s="9">
        <v>140</v>
      </c>
      <c r="C16" s="9"/>
      <c r="D16" s="9"/>
    </row>
    <row r="17" spans="1:4" x14ac:dyDescent="0.45">
      <c r="A17" s="9" t="s">
        <v>67</v>
      </c>
      <c r="B17" s="9">
        <v>9893</v>
      </c>
      <c r="C17" s="9"/>
      <c r="D17" s="9"/>
    </row>
    <row r="18" spans="1:4" x14ac:dyDescent="0.45">
      <c r="A18" s="9" t="s">
        <v>68</v>
      </c>
      <c r="B18" s="9">
        <v>6969</v>
      </c>
      <c r="C18" s="9"/>
      <c r="D18" s="9"/>
    </row>
    <row r="19" spans="1:4" x14ac:dyDescent="0.45">
      <c r="A19" s="9" t="s">
        <v>69</v>
      </c>
      <c r="B19" s="9">
        <v>9893</v>
      </c>
      <c r="C19" s="9"/>
      <c r="D19" s="9"/>
    </row>
    <row r="20" spans="1:4" x14ac:dyDescent="0.45">
      <c r="A20" s="9" t="s">
        <v>70</v>
      </c>
      <c r="B20" s="9"/>
      <c r="C20" s="9"/>
      <c r="D20" s="9"/>
    </row>
    <row r="21" spans="1:4" x14ac:dyDescent="0.45">
      <c r="A21" s="9" t="s">
        <v>71</v>
      </c>
      <c r="B21" s="9">
        <v>7407</v>
      </c>
      <c r="C21" s="9"/>
      <c r="D21" s="9"/>
    </row>
    <row r="22" spans="1:4" x14ac:dyDescent="0.45">
      <c r="A22" s="9" t="s">
        <v>72</v>
      </c>
      <c r="B22" s="9">
        <v>1323</v>
      </c>
      <c r="C22" s="9"/>
      <c r="D22" s="9"/>
    </row>
    <row r="23" spans="1:4" x14ac:dyDescent="0.45">
      <c r="A23" s="9" t="s">
        <v>73</v>
      </c>
      <c r="B23" s="9">
        <v>217</v>
      </c>
      <c r="C23" s="9"/>
      <c r="D23" s="9"/>
    </row>
    <row r="24" spans="1:4" x14ac:dyDescent="0.45">
      <c r="A24" s="9" t="s">
        <v>74</v>
      </c>
      <c r="B24" s="9">
        <v>75</v>
      </c>
      <c r="C24" s="9"/>
      <c r="D24" s="9"/>
    </row>
    <row r="25" spans="1:4" x14ac:dyDescent="0.45">
      <c r="A25" s="9" t="s">
        <v>75</v>
      </c>
      <c r="B25" s="9">
        <v>100</v>
      </c>
      <c r="C25" s="9"/>
      <c r="D25" s="9"/>
    </row>
    <row r="26" spans="1:4" x14ac:dyDescent="0.45">
      <c r="A26" s="9" t="s">
        <v>76</v>
      </c>
      <c r="B26" s="9">
        <v>34</v>
      </c>
      <c r="C26" s="9"/>
      <c r="D26" s="9"/>
    </row>
    <row r="27" spans="1:4" x14ac:dyDescent="0.45">
      <c r="A27" s="9" t="s">
        <v>77</v>
      </c>
      <c r="B27" s="9">
        <v>2169</v>
      </c>
      <c r="C27" s="9"/>
      <c r="D27" s="9"/>
    </row>
    <row r="28" spans="1:4" x14ac:dyDescent="0.45">
      <c r="A28" s="9" t="s">
        <v>78</v>
      </c>
      <c r="B28" s="9">
        <v>0</v>
      </c>
      <c r="C28" s="9"/>
      <c r="D28" s="9"/>
    </row>
    <row r="29" spans="1:4" x14ac:dyDescent="0.45">
      <c r="A29" s="9" t="s">
        <v>79</v>
      </c>
      <c r="B29" s="9">
        <v>0</v>
      </c>
      <c r="C29" s="9"/>
      <c r="D29" s="9"/>
    </row>
    <row r="30" spans="1:4" x14ac:dyDescent="0.45">
      <c r="A30" s="9" t="s">
        <v>80</v>
      </c>
      <c r="B30" s="9">
        <v>0</v>
      </c>
      <c r="C30" s="9"/>
      <c r="D30" s="9"/>
    </row>
    <row r="31" spans="1:4" x14ac:dyDescent="0.45">
      <c r="A31" s="9" t="s">
        <v>81</v>
      </c>
      <c r="B31" s="9">
        <v>0</v>
      </c>
      <c r="C31" s="9"/>
      <c r="D31" s="9"/>
    </row>
    <row r="32" spans="1:4" x14ac:dyDescent="0.45">
      <c r="A32" s="9" t="s">
        <v>82</v>
      </c>
      <c r="B32" s="9">
        <v>0</v>
      </c>
      <c r="C32" s="9"/>
      <c r="D32" s="9"/>
    </row>
    <row r="33" spans="1:4" x14ac:dyDescent="0.45">
      <c r="A33" s="9" t="s">
        <v>83</v>
      </c>
      <c r="B33" s="9">
        <v>9849</v>
      </c>
      <c r="C33" s="9"/>
      <c r="D33" s="9"/>
    </row>
    <row r="34" spans="1:4" x14ac:dyDescent="0.45">
      <c r="A34" s="9" t="s">
        <v>84</v>
      </c>
      <c r="B34" s="9">
        <v>0</v>
      </c>
      <c r="C34" s="9"/>
      <c r="D34" s="9"/>
    </row>
    <row r="35" spans="1:4" x14ac:dyDescent="0.45">
      <c r="A35" s="9" t="s">
        <v>85</v>
      </c>
      <c r="B35" s="9"/>
      <c r="C35" s="9"/>
      <c r="D35" s="9"/>
    </row>
    <row r="36" spans="1:4" x14ac:dyDescent="0.45">
      <c r="A36" s="9" t="s">
        <v>86</v>
      </c>
      <c r="B36" s="9"/>
      <c r="C36" s="9"/>
      <c r="D36" s="9"/>
    </row>
    <row r="37" spans="1:4" x14ac:dyDescent="0.45">
      <c r="A37" s="9" t="s">
        <v>87</v>
      </c>
      <c r="B37" s="9">
        <v>7407</v>
      </c>
      <c r="C37" s="9"/>
      <c r="D37" s="9"/>
    </row>
    <row r="38" spans="1:4" x14ac:dyDescent="0.45">
      <c r="A38" s="9" t="s">
        <v>88</v>
      </c>
      <c r="B38" s="9">
        <v>1323</v>
      </c>
      <c r="C38" s="9"/>
      <c r="D38" s="9"/>
    </row>
    <row r="39" spans="1:4" x14ac:dyDescent="0.45">
      <c r="A39" s="9" t="s">
        <v>89</v>
      </c>
      <c r="B39" s="9">
        <v>217</v>
      </c>
      <c r="C39" s="9"/>
      <c r="D39" s="9"/>
    </row>
    <row r="40" spans="1:4" x14ac:dyDescent="0.45">
      <c r="A40" s="9" t="s">
        <v>90</v>
      </c>
      <c r="B40" s="9">
        <v>75</v>
      </c>
      <c r="C40" s="9"/>
      <c r="D40" s="9"/>
    </row>
    <row r="41" spans="1:4" x14ac:dyDescent="0.45">
      <c r="A41" s="9" t="s">
        <v>91</v>
      </c>
      <c r="B41" s="9">
        <v>100</v>
      </c>
      <c r="C41" s="9"/>
      <c r="D41" s="9"/>
    </row>
    <row r="42" spans="1:4" x14ac:dyDescent="0.45">
      <c r="A42" s="9" t="s">
        <v>92</v>
      </c>
      <c r="B42" s="9">
        <v>34</v>
      </c>
      <c r="C42" s="9"/>
      <c r="D42" s="9"/>
    </row>
    <row r="43" spans="1:4" x14ac:dyDescent="0.45">
      <c r="A43" s="9" t="s">
        <v>93</v>
      </c>
      <c r="B43" s="9">
        <v>2125</v>
      </c>
      <c r="C43" s="9"/>
      <c r="D43" s="9"/>
    </row>
    <row r="44" spans="1:4" x14ac:dyDescent="0.45">
      <c r="A44" s="9" t="s">
        <v>94</v>
      </c>
      <c r="B44" s="9">
        <v>1400</v>
      </c>
      <c r="C44" s="9"/>
      <c r="D44" s="9"/>
    </row>
    <row r="45" spans="1:4" x14ac:dyDescent="0.45">
      <c r="A45" s="9" t="s">
        <v>95</v>
      </c>
      <c r="B45" s="9"/>
      <c r="C45" s="9"/>
      <c r="D45" s="9"/>
    </row>
    <row r="46" spans="1:4" x14ac:dyDescent="0.45">
      <c r="A46" s="9" t="s">
        <v>96</v>
      </c>
      <c r="B46" s="9">
        <v>137</v>
      </c>
      <c r="C46" s="9"/>
      <c r="D46" s="9"/>
    </row>
    <row r="47" spans="1:4" x14ac:dyDescent="0.45">
      <c r="A47" s="9" t="s">
        <v>97</v>
      </c>
      <c r="B47" s="9">
        <v>104</v>
      </c>
      <c r="C47" s="9"/>
      <c r="D47" s="9"/>
    </row>
    <row r="48" spans="1:4" x14ac:dyDescent="0.45">
      <c r="A48" s="9" t="s">
        <v>98</v>
      </c>
      <c r="B48" s="9">
        <v>137</v>
      </c>
      <c r="C48" s="9"/>
      <c r="D48" s="9"/>
    </row>
    <row r="49" spans="1:4" x14ac:dyDescent="0.45">
      <c r="A49" s="9" t="s">
        <v>99</v>
      </c>
      <c r="B49" s="9">
        <v>0</v>
      </c>
      <c r="C49" s="9"/>
      <c r="D49" s="9"/>
    </row>
    <row r="50" spans="1:4" x14ac:dyDescent="0.45">
      <c r="A50" s="9" t="s">
        <v>100</v>
      </c>
      <c r="B50" s="9"/>
      <c r="C50" s="9"/>
      <c r="D50" s="9"/>
    </row>
    <row r="51" spans="1:4" x14ac:dyDescent="0.45">
      <c r="A51" s="9" t="s">
        <v>101</v>
      </c>
      <c r="B51" s="9">
        <v>24</v>
      </c>
      <c r="C51" s="9"/>
      <c r="D51" s="9"/>
    </row>
    <row r="52" spans="1:4" x14ac:dyDescent="0.45">
      <c r="A52" s="9" t="s">
        <v>102</v>
      </c>
      <c r="B52" s="9">
        <v>121</v>
      </c>
      <c r="C52" s="9"/>
      <c r="D52" s="9"/>
    </row>
    <row r="53" spans="1:4" x14ac:dyDescent="0.45">
      <c r="A53" s="9" t="s">
        <v>103</v>
      </c>
      <c r="B53" s="9">
        <v>115</v>
      </c>
      <c r="C53" s="9"/>
      <c r="D53" s="9"/>
    </row>
    <row r="54" spans="1:4" x14ac:dyDescent="0.45">
      <c r="A54" s="9" t="s">
        <v>104</v>
      </c>
      <c r="B54" s="9">
        <v>6</v>
      </c>
      <c r="C54" s="9"/>
      <c r="D54" s="9"/>
    </row>
    <row r="55" spans="1:4" x14ac:dyDescent="0.45">
      <c r="A55" s="9" t="s">
        <v>105</v>
      </c>
      <c r="B55" s="9">
        <v>0</v>
      </c>
      <c r="C55" s="9"/>
      <c r="D55" s="9"/>
    </row>
    <row r="56" spans="1:4" x14ac:dyDescent="0.45">
      <c r="A56" s="9" t="s">
        <v>106</v>
      </c>
      <c r="B56" s="9">
        <v>16</v>
      </c>
      <c r="C56" s="9"/>
      <c r="D56" s="9"/>
    </row>
    <row r="57" spans="1:4" x14ac:dyDescent="0.45">
      <c r="A57" s="9" t="s">
        <v>107</v>
      </c>
      <c r="B57" s="9">
        <v>0</v>
      </c>
      <c r="C57" s="9"/>
      <c r="D57" s="9"/>
    </row>
    <row r="58" spans="1:4" x14ac:dyDescent="0.45">
      <c r="A58" s="9" t="s">
        <v>108</v>
      </c>
      <c r="B58" s="9">
        <v>7</v>
      </c>
      <c r="C58" s="9"/>
      <c r="D58" s="9"/>
    </row>
    <row r="59" spans="1:4" x14ac:dyDescent="0.45">
      <c r="A59" s="9" t="s">
        <v>109</v>
      </c>
      <c r="B59" s="9">
        <v>28</v>
      </c>
      <c r="C59" s="9"/>
      <c r="D59" s="9"/>
    </row>
    <row r="60" spans="1:4" x14ac:dyDescent="0.45">
      <c r="A60" s="9" t="s">
        <v>110</v>
      </c>
      <c r="B60" s="9">
        <v>56</v>
      </c>
      <c r="C60" s="9"/>
      <c r="D60" s="9"/>
    </row>
    <row r="61" spans="1:4" x14ac:dyDescent="0.45">
      <c r="A61" s="9" t="s">
        <v>111</v>
      </c>
      <c r="B61" s="9">
        <v>28</v>
      </c>
      <c r="C61" s="9"/>
      <c r="D61" s="9"/>
    </row>
    <row r="62" spans="1:4" x14ac:dyDescent="0.45">
      <c r="A62" s="9" t="s">
        <v>112</v>
      </c>
      <c r="B62" s="9">
        <v>108</v>
      </c>
      <c r="C62" s="9"/>
      <c r="D62" s="9"/>
    </row>
    <row r="63" spans="1:4" x14ac:dyDescent="0.45">
      <c r="A63" s="9" t="s">
        <v>113</v>
      </c>
      <c r="B63" s="9">
        <v>6</v>
      </c>
      <c r="C63" s="9"/>
      <c r="D63" s="9"/>
    </row>
    <row r="64" spans="1:4" x14ac:dyDescent="0.45">
      <c r="A64" s="9" t="s">
        <v>114</v>
      </c>
      <c r="B64" s="9">
        <v>0</v>
      </c>
      <c r="C64" s="9"/>
      <c r="D64" s="9"/>
    </row>
    <row r="65" spans="1:4" x14ac:dyDescent="0.45">
      <c r="A65" s="9" t="s">
        <v>115</v>
      </c>
      <c r="B65" s="9"/>
      <c r="C65" s="9"/>
      <c r="D65" s="9"/>
    </row>
    <row r="66" spans="1:4" x14ac:dyDescent="0.45">
      <c r="A66" s="9" t="s">
        <v>116</v>
      </c>
      <c r="B66" s="9"/>
      <c r="C66" s="9"/>
      <c r="D66" s="9"/>
    </row>
    <row r="67" spans="1:4" x14ac:dyDescent="0.45">
      <c r="A67" s="9" t="s">
        <v>117</v>
      </c>
      <c r="B67" s="9">
        <v>40</v>
      </c>
      <c r="C67" s="9"/>
      <c r="D67" s="9"/>
    </row>
    <row r="68" spans="1:4" x14ac:dyDescent="0.45">
      <c r="A68" s="9" t="s">
        <v>118</v>
      </c>
      <c r="B68" s="9">
        <v>104</v>
      </c>
      <c r="C68" s="9"/>
      <c r="D68" s="9"/>
    </row>
    <row r="69" spans="1:4" x14ac:dyDescent="0.45">
      <c r="A69" s="9" t="s">
        <v>119</v>
      </c>
      <c r="B69" s="9">
        <v>76</v>
      </c>
      <c r="C69" s="9"/>
      <c r="D69" s="9"/>
    </row>
    <row r="70" spans="1:4" x14ac:dyDescent="0.45">
      <c r="A70" s="9" t="s">
        <v>120</v>
      </c>
      <c r="B70" s="9">
        <v>33</v>
      </c>
      <c r="C70" s="9"/>
      <c r="D70" s="9"/>
    </row>
    <row r="71" spans="1:4" x14ac:dyDescent="0.45">
      <c r="A71" s="9" t="s">
        <v>121</v>
      </c>
      <c r="B71" s="9">
        <v>86</v>
      </c>
      <c r="C71" s="9"/>
      <c r="D71" s="9"/>
    </row>
    <row r="72" spans="1:4" x14ac:dyDescent="0.45">
      <c r="A72" s="9" t="s">
        <v>122</v>
      </c>
      <c r="B72" s="9">
        <v>0</v>
      </c>
      <c r="C72" s="9"/>
      <c r="D72" s="9"/>
    </row>
    <row r="73" spans="1:4" x14ac:dyDescent="0.45">
      <c r="A73" s="9" t="s">
        <v>123</v>
      </c>
      <c r="B73" s="9">
        <v>20</v>
      </c>
      <c r="C73" s="9"/>
      <c r="D73" s="9"/>
    </row>
    <row r="74" spans="1:4" x14ac:dyDescent="0.45">
      <c r="A74" s="9" t="s">
        <v>124</v>
      </c>
      <c r="B74" s="9">
        <v>88</v>
      </c>
      <c r="C74" s="9"/>
      <c r="D74" s="9"/>
    </row>
    <row r="75" spans="1:4" x14ac:dyDescent="0.45">
      <c r="A75" s="9" t="s">
        <v>125</v>
      </c>
      <c r="B75" s="9">
        <v>0</v>
      </c>
      <c r="C75" s="9"/>
      <c r="D75" s="9"/>
    </row>
    <row r="76" spans="1:4" x14ac:dyDescent="0.45">
      <c r="A76" s="9" t="s">
        <v>126</v>
      </c>
      <c r="B76" s="9">
        <v>6</v>
      </c>
      <c r="C76" s="9"/>
      <c r="D76" s="9"/>
    </row>
    <row r="77" spans="1:4" x14ac:dyDescent="0.45">
      <c r="A77" s="9" t="s">
        <v>127</v>
      </c>
      <c r="B77" s="9">
        <v>23</v>
      </c>
      <c r="C77" s="9"/>
      <c r="D77" s="9"/>
    </row>
    <row r="78" spans="1:4" x14ac:dyDescent="0.45">
      <c r="A78" s="9" t="s">
        <v>128</v>
      </c>
      <c r="B78" s="9">
        <v>46</v>
      </c>
      <c r="C78" s="9"/>
      <c r="D78" s="9"/>
    </row>
    <row r="79" spans="1:4" x14ac:dyDescent="0.45">
      <c r="A79" s="9" t="s">
        <v>129</v>
      </c>
      <c r="B79" s="9">
        <v>23</v>
      </c>
      <c r="C79" s="9"/>
      <c r="D79" s="9"/>
    </row>
    <row r="80" spans="1:4" x14ac:dyDescent="0.45">
      <c r="A80" s="9" t="s">
        <v>130</v>
      </c>
      <c r="B80" s="9">
        <v>95</v>
      </c>
      <c r="C80" s="9"/>
      <c r="D80" s="9"/>
    </row>
    <row r="81" spans="1:4" x14ac:dyDescent="0.45">
      <c r="A81" s="9" t="s">
        <v>131</v>
      </c>
      <c r="B81" s="9">
        <v>89</v>
      </c>
      <c r="C81" s="9"/>
      <c r="D81" s="9"/>
    </row>
    <row r="82" spans="1:4" x14ac:dyDescent="0.45">
      <c r="A82" s="9" t="s">
        <v>132</v>
      </c>
      <c r="B82" s="9">
        <v>5</v>
      </c>
      <c r="C82" s="9"/>
      <c r="D82" s="9"/>
    </row>
    <row r="83" spans="1:4" x14ac:dyDescent="0.45">
      <c r="A83" s="9" t="s">
        <v>133</v>
      </c>
      <c r="B83" s="9">
        <v>5</v>
      </c>
      <c r="C83" s="9"/>
      <c r="D83" s="9"/>
    </row>
    <row r="84" spans="1:4" x14ac:dyDescent="0.45">
      <c r="A84" s="9" t="s">
        <v>134</v>
      </c>
      <c r="B84" s="9">
        <v>0</v>
      </c>
      <c r="C84" s="9"/>
      <c r="D84" s="9"/>
    </row>
    <row r="85" spans="1:4" x14ac:dyDescent="0.45">
      <c r="A85" s="9" t="s">
        <v>135</v>
      </c>
      <c r="B85" s="9">
        <v>0</v>
      </c>
      <c r="C85" s="9"/>
      <c r="D85" s="9"/>
    </row>
    <row r="86" spans="1:4" x14ac:dyDescent="0.45">
      <c r="A86" s="9" t="s">
        <v>136</v>
      </c>
      <c r="B86" s="9" t="s">
        <v>178</v>
      </c>
      <c r="C86" s="9"/>
      <c r="D86" s="9"/>
    </row>
    <row r="87" spans="1:4" x14ac:dyDescent="0.45">
      <c r="A87" s="9" t="s">
        <v>137</v>
      </c>
      <c r="B87" s="9" t="s">
        <v>192</v>
      </c>
      <c r="C87" s="9"/>
      <c r="D87" s="9"/>
    </row>
    <row r="88" spans="1:4" x14ac:dyDescent="0.45">
      <c r="A88" s="9" t="s">
        <v>138</v>
      </c>
      <c r="B88" s="9">
        <v>1</v>
      </c>
      <c r="C88" s="9"/>
      <c r="D88" s="9"/>
    </row>
    <row r="89" spans="1:4" x14ac:dyDescent="0.45">
      <c r="A89" s="9" t="s">
        <v>139</v>
      </c>
      <c r="B89" s="9">
        <v>38</v>
      </c>
      <c r="C89" s="9"/>
      <c r="D89" s="9"/>
    </row>
    <row r="90" spans="1:4" x14ac:dyDescent="0.45">
      <c r="A90" s="9" t="s">
        <v>140</v>
      </c>
      <c r="B90" s="9">
        <v>116</v>
      </c>
      <c r="C90" s="9"/>
      <c r="D90" s="9"/>
    </row>
    <row r="91" spans="1:4" x14ac:dyDescent="0.45">
      <c r="A91" s="9" t="s">
        <v>141</v>
      </c>
      <c r="B91" s="9">
        <v>1</v>
      </c>
      <c r="C91" s="9"/>
      <c r="D91" s="9"/>
    </row>
    <row r="92" spans="1:4" x14ac:dyDescent="0.45">
      <c r="A92" s="9" t="s">
        <v>142</v>
      </c>
      <c r="B92" s="9">
        <v>28</v>
      </c>
      <c r="C92" s="9"/>
      <c r="D92" s="9"/>
    </row>
    <row r="93" spans="1:4" x14ac:dyDescent="0.45">
      <c r="A93" s="9" t="s">
        <v>143</v>
      </c>
      <c r="B93" s="9">
        <v>85</v>
      </c>
      <c r="C93" s="9"/>
      <c r="D93" s="9"/>
    </row>
    <row r="94" spans="1:4" x14ac:dyDescent="0.45">
      <c r="A94" s="9" t="s">
        <v>144</v>
      </c>
      <c r="B94" s="9" t="s">
        <v>193</v>
      </c>
      <c r="C94" s="9"/>
      <c r="D94" s="9"/>
    </row>
    <row r="95" spans="1:4" x14ac:dyDescent="0.45">
      <c r="A95" s="9" t="s">
        <v>145</v>
      </c>
      <c r="B95" s="9" t="s">
        <v>194</v>
      </c>
      <c r="C95" s="9"/>
      <c r="D95" s="9"/>
    </row>
    <row r="96" spans="1:4" x14ac:dyDescent="0.45">
      <c r="A96" s="9" t="s">
        <v>146</v>
      </c>
      <c r="B96" s="9">
        <v>1242</v>
      </c>
      <c r="C96" s="9"/>
      <c r="D96" s="9"/>
    </row>
    <row r="97" spans="1:4" x14ac:dyDescent="0.45">
      <c r="A97" s="9" t="s">
        <v>147</v>
      </c>
      <c r="B97" s="9">
        <v>213</v>
      </c>
      <c r="C97" s="9"/>
      <c r="D97" s="9"/>
    </row>
    <row r="98" spans="1:4" x14ac:dyDescent="0.45">
      <c r="A98" s="9" t="s">
        <v>148</v>
      </c>
      <c r="B98" s="9">
        <v>20</v>
      </c>
      <c r="C98" s="9"/>
      <c r="D98" s="9"/>
    </row>
    <row r="99" spans="1:4" x14ac:dyDescent="0.45">
      <c r="A99" s="9" t="s">
        <v>149</v>
      </c>
      <c r="B99" s="9">
        <v>11</v>
      </c>
      <c r="C99" s="9"/>
      <c r="D99" s="9"/>
    </row>
    <row r="100" spans="1:4" x14ac:dyDescent="0.45">
      <c r="A100" s="9" t="s">
        <v>150</v>
      </c>
      <c r="B100" s="9">
        <v>0</v>
      </c>
      <c r="C100" s="9"/>
      <c r="D100" s="9"/>
    </row>
    <row r="101" spans="1:4" x14ac:dyDescent="0.45">
      <c r="A101" s="9" t="s">
        <v>151</v>
      </c>
      <c r="B101" s="9">
        <v>0</v>
      </c>
      <c r="C101" s="9"/>
      <c r="D101" s="9"/>
    </row>
    <row r="102" spans="1:4" x14ac:dyDescent="0.45">
      <c r="A102" s="9" t="s">
        <v>152</v>
      </c>
      <c r="B102" s="9">
        <v>138</v>
      </c>
      <c r="C102" s="9"/>
      <c r="D102" s="9"/>
    </row>
    <row r="103" spans="1:4" x14ac:dyDescent="0.45">
      <c r="A103" s="9" t="s">
        <v>153</v>
      </c>
      <c r="B103" s="9" t="s">
        <v>195</v>
      </c>
      <c r="C103" s="9"/>
      <c r="D103" s="9"/>
    </row>
    <row r="104" spans="1:4" x14ac:dyDescent="0.45">
      <c r="A104" s="9" t="s">
        <v>154</v>
      </c>
      <c r="B104" s="9" t="s">
        <v>196</v>
      </c>
      <c r="C104" s="9"/>
      <c r="D104" s="9"/>
    </row>
    <row r="105" spans="1:4" x14ac:dyDescent="0.45">
      <c r="A105" s="9" t="s">
        <v>155</v>
      </c>
      <c r="B105" s="9"/>
      <c r="C105" s="9"/>
      <c r="D105" s="9"/>
    </row>
    <row r="106" spans="1:4" x14ac:dyDescent="0.45">
      <c r="A106" s="9" t="s">
        <v>156</v>
      </c>
      <c r="B106" s="9"/>
      <c r="C106" s="9"/>
      <c r="D106" s="9"/>
    </row>
    <row r="107" spans="1:4" x14ac:dyDescent="0.45">
      <c r="A107" s="9" t="s">
        <v>157</v>
      </c>
      <c r="B107" s="9"/>
      <c r="C107" s="9"/>
      <c r="D107" s="9"/>
    </row>
    <row r="108" spans="1:4" x14ac:dyDescent="0.45">
      <c r="A108" s="9" t="s">
        <v>158</v>
      </c>
      <c r="B108" s="9"/>
      <c r="C108" s="9"/>
      <c r="D108" s="9"/>
    </row>
    <row r="109" spans="1:4" x14ac:dyDescent="0.45">
      <c r="A109" s="9" t="s">
        <v>159</v>
      </c>
      <c r="B109" s="9"/>
      <c r="C109" s="9"/>
      <c r="D109" s="9"/>
    </row>
    <row r="110" spans="1:4" x14ac:dyDescent="0.45">
      <c r="A110" s="9" t="s">
        <v>160</v>
      </c>
      <c r="B110" s="9"/>
      <c r="C110" s="9"/>
      <c r="D110" s="9"/>
    </row>
    <row r="111" spans="1:4" x14ac:dyDescent="0.45">
      <c r="A111" s="9" t="s">
        <v>161</v>
      </c>
      <c r="B111" s="9"/>
      <c r="C111" s="9"/>
      <c r="D111" s="9"/>
    </row>
    <row r="112" spans="1:4" x14ac:dyDescent="0.45">
      <c r="A112" s="9" t="s">
        <v>162</v>
      </c>
      <c r="B112" s="9"/>
      <c r="C112" s="9"/>
      <c r="D112" s="9"/>
    </row>
    <row r="113" spans="1:4" x14ac:dyDescent="0.45">
      <c r="A113" s="9" t="s">
        <v>163</v>
      </c>
      <c r="B113" s="9"/>
      <c r="C113" s="9"/>
      <c r="D113" s="9"/>
    </row>
    <row r="114" spans="1:4" x14ac:dyDescent="0.45">
      <c r="A114" s="9" t="s">
        <v>164</v>
      </c>
      <c r="B114" s="9"/>
      <c r="C114" s="9"/>
      <c r="D114" s="9"/>
    </row>
    <row r="115" spans="1:4" x14ac:dyDescent="0.45">
      <c r="A115" s="9" t="s">
        <v>165</v>
      </c>
      <c r="B115" s="9"/>
      <c r="C115" s="9"/>
      <c r="D115" s="9"/>
    </row>
    <row r="116" spans="1:4" x14ac:dyDescent="0.45">
      <c r="A116" s="9" t="s">
        <v>166</v>
      </c>
      <c r="B116" s="9"/>
      <c r="C116" s="9"/>
      <c r="D116" s="9"/>
    </row>
    <row r="117" spans="1:4" x14ac:dyDescent="0.45">
      <c r="A117" s="9" t="s">
        <v>167</v>
      </c>
      <c r="B117" s="9" t="s">
        <v>197</v>
      </c>
      <c r="C117" s="9"/>
      <c r="D117" s="9"/>
    </row>
    <row r="118" spans="1:4" x14ac:dyDescent="0.45">
      <c r="A118" s="9" t="s">
        <v>168</v>
      </c>
      <c r="B118" s="9" t="s">
        <v>198</v>
      </c>
      <c r="C118" s="9"/>
      <c r="D118" s="9"/>
    </row>
    <row r="119" spans="1:4" x14ac:dyDescent="0.45">
      <c r="A119" s="9" t="s">
        <v>169</v>
      </c>
      <c r="B119" s="9" t="s">
        <v>199</v>
      </c>
      <c r="C119" s="9"/>
      <c r="D119" s="9"/>
    </row>
    <row r="120" spans="1:4" x14ac:dyDescent="0.45">
      <c r="A120" s="9" t="s">
        <v>170</v>
      </c>
      <c r="B120" s="9"/>
      <c r="C120" s="9"/>
      <c r="D120" s="9"/>
    </row>
    <row r="121" spans="1:4" x14ac:dyDescent="0.45">
      <c r="A121" s="9" t="s">
        <v>171</v>
      </c>
      <c r="B121" s="9">
        <v>2</v>
      </c>
      <c r="C121" s="9"/>
      <c r="D121" s="9"/>
    </row>
    <row r="122" spans="1:4" x14ac:dyDescent="0.45">
      <c r="A122" s="9" t="s">
        <v>172</v>
      </c>
      <c r="B122" s="9">
        <v>2</v>
      </c>
      <c r="C122" s="9"/>
      <c r="D122" s="9"/>
    </row>
    <row r="123" spans="1:4" x14ac:dyDescent="0.45">
      <c r="A123" s="9" t="s">
        <v>173</v>
      </c>
      <c r="B123" s="9" t="s">
        <v>200</v>
      </c>
      <c r="C123" s="9"/>
      <c r="D123" s="9"/>
    </row>
    <row r="124" spans="1:4" x14ac:dyDescent="0.45">
      <c r="A124" s="9" t="s">
        <v>21</v>
      </c>
      <c r="B124" s="9"/>
      <c r="C124" s="9"/>
      <c r="D124" s="9"/>
    </row>
    <row r="125" spans="1:4" x14ac:dyDescent="0.45">
      <c r="A125" s="9" t="s">
        <v>22</v>
      </c>
      <c r="B125" s="9"/>
      <c r="C125" s="9"/>
      <c r="D125" s="9"/>
    </row>
    <row r="126" spans="1:4" x14ac:dyDescent="0.45">
      <c r="A126" s="9" t="s">
        <v>174</v>
      </c>
      <c r="B126" s="9" t="s">
        <v>201</v>
      </c>
      <c r="C126" s="9"/>
      <c r="D126" s="9"/>
    </row>
    <row r="127" spans="1:4" x14ac:dyDescent="0.45">
      <c r="A127" s="9" t="s">
        <v>175</v>
      </c>
      <c r="B127" s="9" t="s">
        <v>202</v>
      </c>
      <c r="C127" s="9"/>
      <c r="D127" s="9"/>
    </row>
    <row r="128" spans="1:4" x14ac:dyDescent="0.45">
      <c r="A128" s="9" t="s">
        <v>176</v>
      </c>
      <c r="B128" s="9" t="s">
        <v>203</v>
      </c>
      <c r="C128" s="9"/>
      <c r="D128" s="9"/>
    </row>
    <row r="129" spans="1:4" x14ac:dyDescent="0.45">
      <c r="A129" s="9" t="s">
        <v>177</v>
      </c>
      <c r="B129" s="9" t="s">
        <v>204</v>
      </c>
      <c r="C129" s="9"/>
      <c r="D129" s="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Cartographie des formations</vt:lpstr>
      <vt:lpstr>voeux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Laura LUCCHINI</cp:lastModifiedBy>
  <dcterms:created xsi:type="dcterms:W3CDTF">2026-01-22T07:56:06Z</dcterms:created>
  <dcterms:modified xsi:type="dcterms:W3CDTF">2026-01-22T14:23:12Z</dcterms:modified>
</cp:coreProperties>
</file>