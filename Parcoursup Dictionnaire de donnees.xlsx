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debe\Documents\_bootcamp_Fullstack_dafs-ft-15\13_projets_post_bootcamp\2026_01_Parcoursup\"/>
    </mc:Choice>
  </mc:AlternateContent>
  <xr:revisionPtr revIDLastSave="0" documentId="13_ncr:1_{B1D286EB-2AE8-42AF-8E07-AF62614A90A0}" xr6:coauthVersionLast="47" xr6:coauthVersionMax="47" xr10:uidLastSave="{00000000-0000-0000-0000-000000000000}"/>
  <bookViews>
    <workbookView xWindow="-98" yWindow="-98" windowWidth="21795" windowHeight="13875" activeTab="1" xr2:uid="{00000000-000D-0000-FFFF-FFFF00000000}"/>
  </bookViews>
  <sheets>
    <sheet name="Cartographie des formations" sheetId="2" r:id="rId1"/>
    <sheet name="voeux" sheetId="4" r:id="rId2"/>
    <sheet name="Feuil2" sheetId="5" r:id="rId3"/>
  </sheets>
  <definedNames>
    <definedName name="_xlnm._FilterDatabase" localSheetId="0" hidden="1">'Cartographie des formations'!$A$1:$C$26</definedName>
    <definedName name="_xlnm._FilterDatabase" localSheetId="1" hidden="1">voeux!$A$1:$E$129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9" i="4" l="1"/>
  <c r="F128" i="4"/>
  <c r="F127" i="4"/>
  <c r="F126"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3" i="4"/>
  <c r="F12" i="4"/>
  <c r="F11" i="4"/>
  <c r="F10" i="4"/>
  <c r="F9" i="4"/>
  <c r="F8" i="4"/>
  <c r="F3" i="4"/>
  <c r="F2" i="4"/>
  <c r="E26" i="2"/>
  <c r="E6" i="2"/>
  <c r="E9" i="2"/>
  <c r="E10" i="2"/>
  <c r="E11" i="2"/>
  <c r="E14" i="2"/>
  <c r="E20" i="2"/>
  <c r="E4" i="2"/>
  <c r="E25" i="2"/>
  <c r="E5" i="2"/>
  <c r="E7" i="2"/>
  <c r="E8" i="2"/>
  <c r="E13" i="2"/>
  <c r="E15" i="2"/>
  <c r="E16" i="2"/>
  <c r="E17" i="2"/>
  <c r="E18" i="2"/>
  <c r="E21" i="2"/>
  <c r="E22" i="2"/>
  <c r="E3" i="2"/>
</calcChain>
</file>

<file path=xl/sharedStrings.xml><?xml version="1.0" encoding="utf-8"?>
<sst xmlns="http://schemas.openxmlformats.org/spreadsheetml/2006/main" count="473" uniqueCount="451">
  <si>
    <t>annee</t>
  </si>
  <si>
    <t>etab_uai</t>
  </si>
  <si>
    <t>etab_nom</t>
  </si>
  <si>
    <t>tc</t>
  </si>
  <si>
    <t>tf</t>
  </si>
  <si>
    <t>nm</t>
  </si>
  <si>
    <t>fl</t>
  </si>
  <si>
    <t>app</t>
  </si>
  <si>
    <t>int</t>
  </si>
  <si>
    <t>amg</t>
  </si>
  <si>
    <t>aut</t>
  </si>
  <si>
    <t>region</t>
  </si>
  <si>
    <t>departement</t>
  </si>
  <si>
    <t>commune</t>
  </si>
  <si>
    <t>fiche</t>
  </si>
  <si>
    <t>dataviz</t>
  </si>
  <si>
    <t>etab_url</t>
  </si>
  <si>
    <t>etab_gps</t>
  </si>
  <si>
    <t>nmc</t>
  </si>
  <si>
    <t>gta</t>
  </si>
  <si>
    <t>gti</t>
  </si>
  <si>
    <t>etablissement_id_paysage</t>
  </si>
  <si>
    <t>composante_id_paysage</t>
  </si>
  <si>
    <t>rnd</t>
  </si>
  <si>
    <t>code_formation</t>
  </si>
  <si>
    <t>Type de formation</t>
  </si>
  <si>
    <t xml:space="preserve">Identifiant Etablissement </t>
  </si>
  <si>
    <t>Nom de la formation</t>
  </si>
  <si>
    <t>Mentions Spécialités</t>
  </si>
  <si>
    <t>Apprentissage</t>
  </si>
  <si>
    <t>Internat</t>
  </si>
  <si>
    <t>Aménagement</t>
  </si>
  <si>
    <t>Région</t>
  </si>
  <si>
    <t>Département</t>
  </si>
  <si>
    <t>Commune</t>
  </si>
  <si>
    <t>Lien vers la fiche formation</t>
  </si>
  <si>
    <t>Lien vers les données statistiques</t>
  </si>
  <si>
    <t>Nom court de la formation</t>
  </si>
  <si>
    <t>Identifiant unique de l’établissement dans Parcoursup (référentiel "Paysage" du ministère)</t>
  </si>
  <si>
    <r>
      <t>composante</t>
    </r>
    <r>
      <rPr>
        <sz val="11"/>
        <color theme="1"/>
        <rFont val="Calibri"/>
        <family val="2"/>
        <scheme val="minor"/>
      </rPr>
      <t xml:space="preserve"> (ou sous-structure) au sein d’un établissement. Une composante peut être une faculté, un institut, une école interne, ou un département spécifique. Par exemple, dans une université, une composante peut être la "Faculté de Droit", l’"IUT de Colmar", ou une "École d’Ingénieurs".</t>
    </r>
  </si>
  <si>
    <t>RND signifie généralement "Rang National de Désistement". Dans le contexte de Parcoursup, il s’agit du rang du dernier candidat appelé dans une formation, c’est-à-dire la position dans le classement à partir de laquelle les candidats ont reçu une proposition d’admission.
Ce rang est utilisé pour évaluer les chances d’admission des candidats en liste d’attente. Par exemple, si le RND est 50, cela signifie que tous les candidats classés jusqu’au 50ème rang ont reçu une proposition d’admission.</t>
  </si>
  <si>
    <t>Rang du dernier candidat appelé</t>
  </si>
  <si>
    <t>Ce terme désigne généralement un groupe spécifique de candidats (par exemple, selon leur type de baccalauréat, leur académie, ou leur situation particulière).
Dans les données Parcoursup, les candidats sont souvent classés par groupes (ex: bacheliers généraux, technologiques, professionnels), et chaque groupe peut avoir un traitement ou un classement distinct.</t>
  </si>
  <si>
    <t>Ce terme fait référence au mécanisme qui permet, en cas de désistement ou de non-inscription de candidats admis, de proposer des places à d’autres candidats en liste d’attente, même après la date limite initiale (ex: après le 12 juillet).
La GTA est un processus clé pour optimiser le remplissage des formations après les premières phases d’admission.</t>
  </si>
  <si>
    <t>Intitulé de colonne</t>
  </si>
  <si>
    <t>Libellé</t>
  </si>
  <si>
    <t>Description</t>
  </si>
  <si>
    <t>nom de l établissement</t>
  </si>
  <si>
    <t>Type d établissement</t>
  </si>
  <si>
    <t>Site internet de l étabilissement</t>
  </si>
  <si>
    <t>GTA   Gestion des Désistements en Phase d’Admission</t>
  </si>
  <si>
    <t>GTI   Groupe de Traitement des Inscriptions</t>
  </si>
  <si>
    <t>session</t>
  </si>
  <si>
    <t>cod_uai</t>
  </si>
  <si>
    <t>g_ea_lib_vx</t>
  </si>
  <si>
    <t>dep</t>
  </si>
  <si>
    <t>dep_lib</t>
  </si>
  <si>
    <t>region_etab_aff</t>
  </si>
  <si>
    <t>acad_mies</t>
  </si>
  <si>
    <t>fili</t>
  </si>
  <si>
    <t>form_lib_voe_acc</t>
  </si>
  <si>
    <t>regr_forma</t>
  </si>
  <si>
    <t>fil_lib_voe_acc</t>
  </si>
  <si>
    <t>detail_forma</t>
  </si>
  <si>
    <t>lien_form_psup</t>
  </si>
  <si>
    <t>g_olocalisation_des_formations</t>
  </si>
  <si>
    <t>capa_fin</t>
  </si>
  <si>
    <t>voe_tot</t>
  </si>
  <si>
    <t>voe_tot_f</t>
  </si>
  <si>
    <t>nb_voe_pp</t>
  </si>
  <si>
    <t>nb_voe_pp_internat</t>
  </si>
  <si>
    <t>nb_voe_pp_bg</t>
  </si>
  <si>
    <t>nb_voe_pp_bg_brs</t>
  </si>
  <si>
    <t>nb_voe_pp_bt</t>
  </si>
  <si>
    <t>nb_voe_pp_bt_brs</t>
  </si>
  <si>
    <t>nb_voe_pp_bp</t>
  </si>
  <si>
    <t>nb_voe_pp_bp_brs</t>
  </si>
  <si>
    <t>nb_voe_pp_at</t>
  </si>
  <si>
    <t>nb_voe_pc</t>
  </si>
  <si>
    <t>nb_voe_pc_bg</t>
  </si>
  <si>
    <t>nb_voe_pc_bt</t>
  </si>
  <si>
    <t>nb_voe_pc_bp</t>
  </si>
  <si>
    <t>nb_voe_pc_at</t>
  </si>
  <si>
    <t>nb_cla_pp</t>
  </si>
  <si>
    <t>nb_cla_pc</t>
  </si>
  <si>
    <t>nb_cla_pp_internat</t>
  </si>
  <si>
    <t>nb_cla_pp_pasinternat</t>
  </si>
  <si>
    <t>nb_cla_pp_bg</t>
  </si>
  <si>
    <t>nb_cla_pp_bg_brs</t>
  </si>
  <si>
    <t>nb_cla_pp_bt</t>
  </si>
  <si>
    <t>nb_cla_pp_bt_brs</t>
  </si>
  <si>
    <t>nb_cla_pp_bp</t>
  </si>
  <si>
    <t>nb_cla_pp_bp_brs</t>
  </si>
  <si>
    <t>nb_cla_pp_at</t>
  </si>
  <si>
    <t>prop_tot</t>
  </si>
  <si>
    <t>rang_der_max</t>
  </si>
  <si>
    <t>acc_tot</t>
  </si>
  <si>
    <t>acc_tot_f</t>
  </si>
  <si>
    <t>acc_pp</t>
  </si>
  <si>
    <t>acc_pc</t>
  </si>
  <si>
    <t>acc_internat</t>
  </si>
  <si>
    <t>acc_brs</t>
  </si>
  <si>
    <t>acc_neobac</t>
  </si>
  <si>
    <t>acc_bg</t>
  </si>
  <si>
    <t>acc_bt</t>
  </si>
  <si>
    <t>acc_bp</t>
  </si>
  <si>
    <t>acc_at</t>
  </si>
  <si>
    <t>acc_mention_nonrenseignee</t>
  </si>
  <si>
    <t>acc_sansmention</t>
  </si>
  <si>
    <t>acc_ab</t>
  </si>
  <si>
    <t>acc_b</t>
  </si>
  <si>
    <t>acc_tb</t>
  </si>
  <si>
    <t>acc_bg_mention</t>
  </si>
  <si>
    <t>acc_bt_mention</t>
  </si>
  <si>
    <t>acc_bp_mention</t>
  </si>
  <si>
    <t>acc_term</t>
  </si>
  <si>
    <t>acc_term_f</t>
  </si>
  <si>
    <t>acc_aca_orig</t>
  </si>
  <si>
    <t>acc_aca_orig_idf</t>
  </si>
  <si>
    <t>pct_f</t>
  </si>
  <si>
    <t>pct_aca_orig</t>
  </si>
  <si>
    <t>pct_aca_orig_idf</t>
  </si>
  <si>
    <t>pct_etab_orig</t>
  </si>
  <si>
    <t>pct_bours</t>
  </si>
  <si>
    <t>pct_neobac</t>
  </si>
  <si>
    <t>pct_mention_nonrenseignee</t>
  </si>
  <si>
    <t>pct_sansmention</t>
  </si>
  <si>
    <t>pct_ab</t>
  </si>
  <si>
    <t>pct_b</t>
  </si>
  <si>
    <t>pct_tb</t>
  </si>
  <si>
    <t>pct_bg</t>
  </si>
  <si>
    <t>pct_bg_mention</t>
  </si>
  <si>
    <t>pct_bt</t>
  </si>
  <si>
    <t>pct_bt_mention</t>
  </si>
  <si>
    <t>pct_bp</t>
  </si>
  <si>
    <t>pct_bp_mention</t>
  </si>
  <si>
    <t>tri</t>
  </si>
  <si>
    <t>contrat_etab</t>
  </si>
  <si>
    <t>acc_debutpp</t>
  </si>
  <si>
    <t>acc_datebac</t>
  </si>
  <si>
    <t>acc_finpp</t>
  </si>
  <si>
    <t>pct_acc_debutpp</t>
  </si>
  <si>
    <t>pct_acc_datebac</t>
  </si>
  <si>
    <t>pct_acc_finpp</t>
  </si>
  <si>
    <t>select_form</t>
  </si>
  <si>
    <t>lib_comp_voe_ins</t>
  </si>
  <si>
    <t>prop_tot_bg</t>
  </si>
  <si>
    <t>prop_tot_bg_brs</t>
  </si>
  <si>
    <t>prop_tot_bt</t>
  </si>
  <si>
    <t>prop_tot_bt_brs</t>
  </si>
  <si>
    <t>prop_tot_bp</t>
  </si>
  <si>
    <t>prop_tot_bp_brs</t>
  </si>
  <si>
    <t>prop_tot_at</t>
  </si>
  <si>
    <t>lib_grp1</t>
  </si>
  <si>
    <t>ran_grp1</t>
  </si>
  <si>
    <t>lib_grp2</t>
  </si>
  <si>
    <t>ran_grp2</t>
  </si>
  <si>
    <t>lib_grp3</t>
  </si>
  <si>
    <t>ran_grp3</t>
  </si>
  <si>
    <t>lib_grp4</t>
  </si>
  <si>
    <t>ran_grp4</t>
  </si>
  <si>
    <t>lib_grp5</t>
  </si>
  <si>
    <t>ran_grp5</t>
  </si>
  <si>
    <t>taux_adm_psup</t>
  </si>
  <si>
    <t>taux_adm_psup_pro</t>
  </si>
  <si>
    <t>taux_adm_psup_gen</t>
  </si>
  <si>
    <t>taux_adm_psup_techno</t>
  </si>
  <si>
    <t>cod_aff_form</t>
  </si>
  <si>
    <t>ville_etab</t>
  </si>
  <si>
    <t>lib_for_voe_ins</t>
  </si>
  <si>
    <t>detail_forma2</t>
  </si>
  <si>
    <t>acc_tbf</t>
  </si>
  <si>
    <t>pct_tbf</t>
  </si>
  <si>
    <t>list_com</t>
  </si>
  <si>
    <t>taux_acces_ens</t>
  </si>
  <si>
    <t>part_acces_gen</t>
  </si>
  <si>
    <t>part_acces_tec</t>
  </si>
  <si>
    <t>part_acces_pro</t>
  </si>
  <si>
    <t>1_universités</t>
  </si>
  <si>
    <t xml:space="preserve">Numéro Département </t>
  </si>
  <si>
    <t>Académie</t>
  </si>
  <si>
    <t>2025</t>
  </si>
  <si>
    <t>0755976N</t>
  </si>
  <si>
    <t>Université Paris Cité</t>
  </si>
  <si>
    <t>75</t>
  </si>
  <si>
    <t>Paris</t>
  </si>
  <si>
    <t>Ile-de-France</t>
  </si>
  <si>
    <t>PASS</t>
  </si>
  <si>
    <t>Licence - Sciences - technologies - santé</t>
  </si>
  <si>
    <t>Parcours d'Accès Spécifique Santé (PASS)</t>
  </si>
  <si>
    <t>https://dossierappel.parcoursup.fr/Candidats/public/fiches/afficherFicheFormation?g_ta_cod=28097&amp;typeBac=0&amp;originePc=0</t>
  </si>
  <si>
    <t>b'\x01\x01\x00\x00\x00\r\xe0-\x90\xa0\xb8\x02@\xa2b\x9c\xbf\tmH@'</t>
  </si>
  <si>
    <t>Public</t>
  </si>
  <si>
    <t>formation non sélective</t>
  </si>
  <si>
    <t>Université Paris Cité - Licence - Parcours d'Accès Spécifique Santé (PASS)</t>
  </si>
  <si>
    <t>Tous les candidats</t>
  </si>
  <si>
    <t>6208</t>
  </si>
  <si>
    <t>28097</t>
  </si>
  <si>
    <t>Paris  6e  Arrondissement</t>
  </si>
  <si>
    <t>Licence - Parcours d'Accès Spécifique Santé (PASS)</t>
  </si>
  <si>
    <t>Liste d'appel propre à cette formation</t>
  </si>
  <si>
    <t>27</t>
  </si>
  <si>
    <t>99</t>
  </si>
  <si>
    <t>1</t>
  </si>
  <si>
    <t>0</t>
  </si>
  <si>
    <t>Filière de formation détaillée</t>
  </si>
  <si>
    <t>Filière de formation</t>
  </si>
  <si>
    <t>Régime de la formation</t>
  </si>
  <si>
    <t>Détails sur la formation</t>
  </si>
  <si>
    <t>Lien vers la fiche de la formation sur Parcoursup</t>
  </si>
  <si>
    <t>Localisation géographique des formations</t>
  </si>
  <si>
    <t>Nombre total de vœux confirmés</t>
  </si>
  <si>
    <t>Nombre total de vœux confirmés par des filles</t>
  </si>
  <si>
    <t>Nombre de vœux confirmés en phase principale</t>
  </si>
  <si>
    <t>Nombre de vœux confirmés en phase principale par des bacheliers généraux</t>
  </si>
  <si>
    <t>Nombre de vœux confirmés en phase principale par des bacheliers généraux boursiers</t>
  </si>
  <si>
    <t>Nombre de vœux confirmés en phase principale par des bacheliers technologiques</t>
  </si>
  <si>
    <t>Nombre de vœux confirmés en phase principale par des bacheliers technologiques boursiers</t>
  </si>
  <si>
    <t>Nombre de vœux confirmés en phase principale par des bacheliers professionnels</t>
  </si>
  <si>
    <t>Nombre de vœux confirmés en phase principale par des bacheliers professionnels boursiers</t>
  </si>
  <si>
    <t>Nombre de vœux confirmés en phase principale en apprentissage</t>
  </si>
  <si>
    <t>Nombre de vœux confirmés en phase complémentaire</t>
  </si>
  <si>
    <t>Nombre de vœux confirmés en phase complémentaire par des bacheliers généraux</t>
  </si>
  <si>
    <t>Nombre de vœux confirmés en phase complémentaire par des bacheliers technologiques</t>
  </si>
  <si>
    <t>Nombre de vœux confirmés en phase complémentaire par des bacheliers professionnels</t>
  </si>
  <si>
    <t>Nombre de vœux confirmés en phase complémentaire en apprentissage</t>
  </si>
  <si>
    <t>Pourcentage de filles parmi les acceptations</t>
  </si>
  <si>
    <t>Tri des données</t>
  </si>
  <si>
    <t>Sélectivité de la formation</t>
  </si>
  <si>
    <t>Proportion totale de propositions pour les bacheliers généraux</t>
  </si>
  <si>
    <t>Proportion totale de propositions pour les bacheliers généraux boursiers</t>
  </si>
  <si>
    <t>Proportion totale de propositions pour les bacheliers technologiques</t>
  </si>
  <si>
    <t>Proportion totale de propositions pour les bacheliers technologiques boursiers</t>
  </si>
  <si>
    <t>Proportion totale de propositions pour les bacheliers professionnels</t>
  </si>
  <si>
    <t>Proportion totale de propositions pour les bacheliers professionnels boursiers</t>
  </si>
  <si>
    <t>Rang du dernier candidat appelé dans le groupe 1</t>
  </si>
  <si>
    <t>Libellé du groupe 2</t>
  </si>
  <si>
    <t>Rang du dernier candidat appelé dans le groupe 2</t>
  </si>
  <si>
    <t>Libellé du groupe 3</t>
  </si>
  <si>
    <t>Rang du dernier candidat appelé dans le groupe 3</t>
  </si>
  <si>
    <t>Libellé du groupe 4</t>
  </si>
  <si>
    <t>Rang du dernier candidat appelé dans le groupe 4</t>
  </si>
  <si>
    <t>Libellé du groupe 5</t>
  </si>
  <si>
    <t>Rang du dernier candidat appelé dans le groupe 5</t>
  </si>
  <si>
    <t>Code affectation de la formation</t>
  </si>
  <si>
    <t>Détails supplémentaires sur la formation</t>
  </si>
  <si>
    <t>Identifiant unique de l'établissement dans le référentiel "Paysage"</t>
  </si>
  <si>
    <t>Identifiant unique de la composante dans le référentiel "Paysage"</t>
  </si>
  <si>
    <t>Code unique de la formation</t>
  </si>
  <si>
    <t xml:space="preserve">UAI (Unité Administrative Immatriculée) </t>
  </si>
  <si>
    <t xml:space="preserve">Libellé du groupe 1 </t>
  </si>
  <si>
    <t>exemple</t>
  </si>
  <si>
    <t xml:space="preserve">Définition :
La liste d'appel est une liste classée des candidats qui ont formulé un vœu pour une formation donnée. Les candidats sont classés en fonction de critères définis par chaque établissement (notes, dossier, etc.).
Fonctionnement :
Les candidats sont classés par ordre de priorité selon les critères de la formation.
Les formations appellent les candidats un par un, en commençant par le premier de la liste, jusqu'à ce que toutes les places disponibles soient pourvues.
Comment fonctionne la liste d'appel ?
Classement des candidats :
Chaque formation établit un classement des candidats en fonction de leurs dossiers (notes, appréciations, etc.).
Ce classement est spécifique à chaque formation et peut varier d'une formation à l'autre.
Propositions d'admission :
Les candidats les mieux classés reçoivent une proposition d'admission en premier.
Si un candidat accepte la proposition, il est admis et une place est occupée.
Si un candidat refuse ou ne répond pas, la proposition est transmise au candidat suivant sur la liste.
Mise à jour dynamique :
La liste d'appel est mise à jour en temps réel en fonction des réponses des candidats (acceptation, refus, désistement).
Les candidats peuvent voir leur position dans la liste d'appel sur leur dossier Parcoursup.
</t>
  </si>
  <si>
    <t>A rapatrier dans table dimension etablissements</t>
  </si>
  <si>
    <t>Commentaires</t>
  </si>
  <si>
    <t>A supprimer</t>
  </si>
  <si>
    <t>A supprimer de cette table</t>
  </si>
  <si>
    <t>'session':'annee',</t>
  </si>
  <si>
    <t>'cod_uai':'Identifiant Etablissement ',</t>
  </si>
  <si>
    <t>'acad_mies':'Académie',</t>
  </si>
  <si>
    <t>'fili':'Filière de formation',</t>
  </si>
  <si>
    <t>'form_lib_voe_acc':'Libellé de la formation (tel qu'affiché aux candidats)',</t>
  </si>
  <si>
    <t>'regr_forma':'Régime de la formation',</t>
  </si>
  <si>
    <t>'fil_lib_voe_acc':'Libellé de la filière (tel qu'affiché aux candidats)',</t>
  </si>
  <si>
    <t>'detail_forma':'Détails sur la formation',</t>
  </si>
  <si>
    <t>'capa_fin':'Capacité d'accueil finale de la formation',</t>
  </si>
  <si>
    <t>'voe_tot':'Nombre total de vœux confirmés',</t>
  </si>
  <si>
    <t>'voe_tot_f':'Nombre total de vœux confirmés par des filles',</t>
  </si>
  <si>
    <t>'nb_voe_pp':'Nombre de vœux confirmés en phase principale',</t>
  </si>
  <si>
    <t>'nb_voe_pp_internat':'Nombre de vœux confirmés en phase principale pour l'internat',</t>
  </si>
  <si>
    <t>'nb_voe_pp_bg':'Nombre de vœux confirmés en phase principale par des bacheliers généraux',</t>
  </si>
  <si>
    <t>'nb_voe_pp_bg_brs':'Nombre de vœux confirmés en phase principale par des bacheliers généraux boursiers',</t>
  </si>
  <si>
    <t>'nb_voe_pp_bt':'Nombre de vœux confirmés en phase principale par des bacheliers technologiques',</t>
  </si>
  <si>
    <t>'nb_voe_pp_bt_brs':'Nombre de vœux confirmés en phase principale par des bacheliers technologiques boursiers',</t>
  </si>
  <si>
    <t>'nb_voe_pp_bp':'Nombre de vœux confirmés en phase principale par des bacheliers professionnels',</t>
  </si>
  <si>
    <t>'nb_voe_pp_bp_brs':'Nombre de vœux confirmés en phase principale par des bacheliers professionnels boursiers',</t>
  </si>
  <si>
    <t>'nb_voe_pp_at':'Nombre de vœux confirmés en phase principale en apprentissage',</t>
  </si>
  <si>
    <t>'nb_voe_pc':'Nombre de vœux confirmés en phase complémentaire',</t>
  </si>
  <si>
    <t>'nb_voe_pc_bg':'Nombre de vœux confirmés en phase complémentaire par des bacheliers généraux',</t>
  </si>
  <si>
    <t>'nb_voe_pc_bt':'Nombre de vœux confirmés en phase complémentaire par des bacheliers technologiques',</t>
  </si>
  <si>
    <t>'nb_voe_pc_bp':'Nombre de vœux confirmés en phase complémentaire par des bacheliers professionnels',</t>
  </si>
  <si>
    <t>'nb_voe_pc_at':'Nombre de vœux confirmés en phase complémentaire en apprentissage',</t>
  </si>
  <si>
    <t>'nb_cla_pp':'Nombre de candidats en liste d'appel en phase principale',</t>
  </si>
  <si>
    <t>'nb_cla_pc':'Nombre de candidats en liste d'appel en phase complémentaire',</t>
  </si>
  <si>
    <t>'nb_cla_pp_internat':'Nombre de candidats en liste d'appel en phase principale pour l'internat',</t>
  </si>
  <si>
    <t>'nb_cla_pp_pasinternat':'Nombre de candidats en liste d'appel en phase principale sans internat',</t>
  </si>
  <si>
    <t>'nb_cla_pp_bg':'Nombre de candidats en liste d'appel en phase principale parmi les bacheliers généraux',</t>
  </si>
  <si>
    <t>'nb_cla_pp_bg_brs':'Nombre de candidats en liste d'appel en phase principale parmi les bacheliers généraux boursiers',</t>
  </si>
  <si>
    <t>'nb_cla_pp_bt':'Nombre de candidats en liste d'appel en phase principale parmi les bacheliers technologiques',</t>
  </si>
  <si>
    <t>'nb_cla_pp_bt_brs':'Nombre de candidats en liste d'appel en phase principale parmi les bacheliers technologiques boursiers',</t>
  </si>
  <si>
    <t>'nb_cla_pp_bp':'Nombre de candidats en liste d'appel en phase principale parmi les bacheliers professionnels',</t>
  </si>
  <si>
    <t>'nb_cla_pp_bp_brs':'Nombre de candidats en liste d'appel en phase principale parmi les bacheliers professionnels boursiers',</t>
  </si>
  <si>
    <t>'nb_cla_pp_at':'Nombre de candidats en liste d'appel en phase principale en apprentissage',</t>
  </si>
  <si>
    <t>'prop_tot':'Nombre total de propositions d'admission',</t>
  </si>
  <si>
    <t>'rang_der_max':'Rang du dernier candidat appelé',</t>
  </si>
  <si>
    <t>'acc_tot':'Nombre total d'acceptations',</t>
  </si>
  <si>
    <t>'acc_tot_f':'Nombre total d'acceptations par des filles',</t>
  </si>
  <si>
    <t>'acc_pp':'Nombre d'acceptations en phase principale',</t>
  </si>
  <si>
    <t>'acc_pc':'Nombre d'acceptations en phase complémentaire',</t>
  </si>
  <si>
    <t>'acc_internat':'Nombre d'acceptations pour l'internat',</t>
  </si>
  <si>
    <t>'acc_brs':'Nombre d'acceptations par des boursiers',</t>
  </si>
  <si>
    <t>'acc_neobac':'Nombre d'acceptations par des néo-bacheliers',</t>
  </si>
  <si>
    <t>'acc_bg':'Nombre d'acceptations par des bacheliers généraux',</t>
  </si>
  <si>
    <t>'acc_bt':'Nombre d'acceptations par des bacheliers technologiques',</t>
  </si>
  <si>
    <t>'acc_bp':'Nombre d'acceptations par des bacheliers professionnels',</t>
  </si>
  <si>
    <t>'acc_at':'Nombre d'acceptations en apprentissage',</t>
  </si>
  <si>
    <t>'acc_mention_nonrenseignee':'Nombre d'acceptations avec mention non renseignée',</t>
  </si>
  <si>
    <t>'acc_sansmention':'Nombre d'acceptations sans mention',</t>
  </si>
  <si>
    <t>'acc_ab':'Nombre d'acceptations avec mention Assez Bien',</t>
  </si>
  <si>
    <t>'acc_b':'Nombre d'acceptations avec mention Bien',</t>
  </si>
  <si>
    <t>'acc_tb':'Nombre d'acceptations avec mention Très Bien',</t>
  </si>
  <si>
    <t>'acc_bg_mention':'Nombre d'acceptations avec mention parmi les bacheliers généraux',</t>
  </si>
  <si>
    <t>'acc_bt_mention':'Nombre d'acceptations avec mention parmi les bacheliers technologiques',</t>
  </si>
  <si>
    <t>'acc_bp_mention':'Nombre d'acceptations avec mention parmi les bacheliers professionnels',</t>
  </si>
  <si>
    <t>'acc_term':'Nombre d'acceptations parmi les terminales',</t>
  </si>
  <si>
    <t>'acc_term_f':'Nombre d'acceptations parmi les terminales filles',</t>
  </si>
  <si>
    <t>'acc_aca_orig':'Nombre d'acceptations par académie d'origine',</t>
  </si>
  <si>
    <t>'acc_aca_orig_idf':'Nombre d'acceptations par académie d'origine en Île-de-France',</t>
  </si>
  <si>
    <t>'pct_f':'Pourcentage de filles parmi les acceptations',</t>
  </si>
  <si>
    <t>'pct_aca_orig':'Pourcentage d'acceptations par académie d'origine',</t>
  </si>
  <si>
    <t>'pct_aca_orig_idf':'Pourcentage d'acceptations par académie d'origine en Île-de-France',</t>
  </si>
  <si>
    <t>'pct_etab_orig':'Pourcentage d'acceptations par établissement d'origine',</t>
  </si>
  <si>
    <t>'pct_bours':'Pourcentage d'acceptations par des boursiers',</t>
  </si>
  <si>
    <t>'pct_neobac':'Pourcentage d'acceptations par des néo-bacheliers',</t>
  </si>
  <si>
    <t>'pct_mention_nonrenseignee':'Pourcentage d'acceptations avec mention non renseignée',</t>
  </si>
  <si>
    <t>'pct_sansmention':'Pourcentage d'acceptations sans mention',</t>
  </si>
  <si>
    <t>'pct_ab':'Pourcentage d'acceptations avec mention Assez Bien',</t>
  </si>
  <si>
    <t>'pct_b':'Pourcentage d'acceptations avec mention Bien',</t>
  </si>
  <si>
    <t>'pct_tb':'Pourcentage d'acceptations avec mention Très Bien',</t>
  </si>
  <si>
    <t>'pct_bg':'Pourcentage d'acceptations parmi les bacheliers généraux',</t>
  </si>
  <si>
    <t>'pct_bg_mention':'Pourcentage d'acceptations avec mention parmi les bacheliers généraux',</t>
  </si>
  <si>
    <t>'pct_bt':'Pourcentage d'acceptations parmi les bacheliers technologiques',</t>
  </si>
  <si>
    <t>'pct_bt_mention':'Pourcentage d'acceptations avec mention parmi les bacheliers technologiques',</t>
  </si>
  <si>
    <t>'pct_bp':'Pourcentage d'acceptations parmi les bacheliers professionnels',</t>
  </si>
  <si>
    <t>'pct_bp_mention':'Pourcentage d'acceptations avec mention parmi les bacheliers professionnels',</t>
  </si>
  <si>
    <t>'tri':'Tri des données',</t>
  </si>
  <si>
    <t>'contrat_etab':'Type d établissement',</t>
  </si>
  <si>
    <t>'acc_debutpp':'Nombre d'acceptations en début de phase principale',</t>
  </si>
  <si>
    <t>'acc_datebac':'Nombre d'acceptations à la date du bac',</t>
  </si>
  <si>
    <t>'acc_finpp':'Nombre d'acceptations en fin de phase principale',</t>
  </si>
  <si>
    <t>'pct_acc_debutpp':'Pourcentage d'acceptations en début de phase principale',</t>
  </si>
  <si>
    <t>'pct_acc_datebac':'Pourcentage d'acceptations à la date du bac',</t>
  </si>
  <si>
    <t>'pct_acc_finpp':'Pourcentage d'acceptations en fin de phase principale',</t>
  </si>
  <si>
    <t>'select_form':'Sélectivité de la formation',</t>
  </si>
  <si>
    <t>'lib_comp_voe_ins':'Filière de formation détaillée',</t>
  </si>
  <si>
    <t>'prop_tot_bg':'Proportion totale de propositions pour les bacheliers généraux',</t>
  </si>
  <si>
    <t>'prop_tot_bg_brs':'Proportion totale de propositions pour les bacheliers généraux boursiers',</t>
  </si>
  <si>
    <t>'prop_tot_bt':'Proportion totale de propositions pour les bacheliers technologiques',</t>
  </si>
  <si>
    <t>'prop_tot_bt_brs':'Proportion totale de propositions pour les bacheliers technologiques boursiers',</t>
  </si>
  <si>
    <t>'prop_tot_bp':'Proportion totale de propositions pour les bacheliers professionnels',</t>
  </si>
  <si>
    <t>'prop_tot_bp_brs':'Proportion totale de propositions pour les bacheliers professionnels boursiers',</t>
  </si>
  <si>
    <t>'prop_tot_at':'Proportion totale de propositions pour l'apprentissage',</t>
  </si>
  <si>
    <t>'lib_grp1':'Libellé du groupe 1 ',</t>
  </si>
  <si>
    <t>'ran_grp1':'Rang du dernier candidat appelé dans le groupe 1',</t>
  </si>
  <si>
    <t>'lib_grp2':'Libellé du groupe 2',</t>
  </si>
  <si>
    <t>'ran_grp2':'Rang du dernier candidat appelé dans le groupe 2',</t>
  </si>
  <si>
    <t>'lib_grp3':'Libellé du groupe 3',</t>
  </si>
  <si>
    <t>'ran_grp3':'Rang du dernier candidat appelé dans le groupe 3',</t>
  </si>
  <si>
    <t>'lib_grp4':'Libellé du groupe 4',</t>
  </si>
  <si>
    <t>'ran_grp4':'Rang du dernier candidat appelé dans le groupe 4',</t>
  </si>
  <si>
    <t>'lib_grp5':'Libellé du groupe 5',</t>
  </si>
  <si>
    <t>'ran_grp5':'Rang du dernier candidat appelé dans le groupe 5',</t>
  </si>
  <si>
    <t>'taux_adm_psup':'Taux d'admission sur Parcoursup',</t>
  </si>
  <si>
    <t>'taux_adm_psup_pro':'Taux d'admission sur Parcoursup pour les formations professionnelles',</t>
  </si>
  <si>
    <t>'taux_adm_psup_gen':'Taux d'admission sur Parcoursup pour les formations générales',</t>
  </si>
  <si>
    <t>'taux_adm_psup_techno':'Taux d'admission sur Parcoursup pour les formations technologiques',</t>
  </si>
  <si>
    <t>'cod_aff_form':'Code affectation de la formation',</t>
  </si>
  <si>
    <t>'ville_etab':'Commune',</t>
  </si>
  <si>
    <t>'lib_for_voe_ins':'Libellé de la formation pour les vœux d'inscription',</t>
  </si>
  <si>
    <t>'detail_forma2':'Détails supplémentaires sur la formation',</t>
  </si>
  <si>
    <t>'acc_tbf':'Nombre d'acceptations avec mention Très Bien avec Félicitations',</t>
  </si>
  <si>
    <t>'pct_tbf':'Pourcentage d'acceptations avec mention Très Bien avec Félicitations',</t>
  </si>
  <si>
    <t>'list_com':'Liste d'appel',</t>
  </si>
  <si>
    <t>'taux_acces_ens':'Taux d'accès à l'enseignement supérieur',</t>
  </si>
  <si>
    <t>'part_acces_gen':'Part d'accès pour les bacheliers généraux',</t>
  </si>
  <si>
    <t>'part_acces_tec':'Part d'accès pour les bacheliers technologiques',</t>
  </si>
  <si>
    <t>'part_acces_pro':'Part d'accès pour les bacheliers professionnels',</t>
  </si>
  <si>
    <t>Libellé de la formation (tel qu affiché aux candidats)</t>
  </si>
  <si>
    <t>Libellé de la filière (tel qu affiché aux candidats)</t>
  </si>
  <si>
    <t>Capacité d accueil finale de la formation</t>
  </si>
  <si>
    <t>Nombre de vœux confirmés en phase principale pour l internat</t>
  </si>
  <si>
    <t>Nombre de candidats en liste d appel en phase principale</t>
  </si>
  <si>
    <t>Nombre de candidats en liste d appel en phase complémentaire</t>
  </si>
  <si>
    <t>Nombre de candidats en liste d appel en phase principale pour l internat</t>
  </si>
  <si>
    <t>Nombre de candidats en liste d appel en phase principale sans internat</t>
  </si>
  <si>
    <t>Nombre de candidats en liste d appel en phase principale parmi les bacheliers généraux</t>
  </si>
  <si>
    <t>Nombre de candidats en liste d appel en phase principale parmi les bacheliers généraux boursiers</t>
  </si>
  <si>
    <t>Nombre de candidats en liste d appel en phase principale parmi les bacheliers technologiques</t>
  </si>
  <si>
    <t>Nombre de candidats en liste d appel en phase principale parmi les bacheliers technologiques boursiers</t>
  </si>
  <si>
    <t>Nombre de candidats en liste d appel en phase principale parmi les bacheliers professionnels</t>
  </si>
  <si>
    <t>Nombre de candidats en liste d appel en phase principale parmi les bacheliers professionnels boursiers</t>
  </si>
  <si>
    <t>Nombre de candidats en liste d appel en phase principale en apprentissage</t>
  </si>
  <si>
    <t>Nombre total de propositions d admission</t>
  </si>
  <si>
    <t>Nombre total d acceptations</t>
  </si>
  <si>
    <t>Nombre total d acceptations par des filles</t>
  </si>
  <si>
    <t>Nombre d acceptations en phase principale</t>
  </si>
  <si>
    <t>Nombre d acceptations en phase complémentaire</t>
  </si>
  <si>
    <t>Nombre d acceptations pour l internat</t>
  </si>
  <si>
    <t>Nombre d acceptations par des boursiers</t>
  </si>
  <si>
    <t>Nombre d acceptations par des néo-bacheliers</t>
  </si>
  <si>
    <t>Nombre d acceptations par des bacheliers généraux</t>
  </si>
  <si>
    <t>Nombre d acceptations par des bacheliers technologiques</t>
  </si>
  <si>
    <t>Nombre d acceptations par des bacheliers professionnels</t>
  </si>
  <si>
    <t>Nombre d acceptations en apprentissage</t>
  </si>
  <si>
    <t>Nombre d acceptations avec mention non renseignée</t>
  </si>
  <si>
    <t>Nombre d acceptations sans mention</t>
  </si>
  <si>
    <t>Nombre d acceptations avec mention Assez Bien</t>
  </si>
  <si>
    <t>Nombre d acceptations avec mention Bien</t>
  </si>
  <si>
    <t>Nombre d acceptations avec mention Très Bien</t>
  </si>
  <si>
    <t>Nombre d acceptations avec mention parmi les bacheliers généraux</t>
  </si>
  <si>
    <t>Nombre d acceptations avec mention parmi les bacheliers technologiques</t>
  </si>
  <si>
    <t>Nombre d acceptations avec mention parmi les bacheliers professionnels</t>
  </si>
  <si>
    <t>Nombre d acceptations parmi les terminales</t>
  </si>
  <si>
    <t>Nombre d acceptations parmi les terminales filles</t>
  </si>
  <si>
    <t>Nombre d acceptations par académie d origine</t>
  </si>
  <si>
    <t>Nombre d acceptations par académie d origine en Île-de-France</t>
  </si>
  <si>
    <t>Pourcentage d acceptations par académie d origine</t>
  </si>
  <si>
    <t>Pourcentage d acceptations par académie d origine en Île-de-France</t>
  </si>
  <si>
    <t>Pourcentage d acceptations par établissement d origine</t>
  </si>
  <si>
    <t>Pourcentage d acceptations par des boursiers</t>
  </si>
  <si>
    <t>Pourcentage d acceptations par des néo-bacheliers</t>
  </si>
  <si>
    <t>Pourcentage d acceptations avec mention non renseignée</t>
  </si>
  <si>
    <t>Pourcentage d acceptations sans mention</t>
  </si>
  <si>
    <t>Pourcentage d acceptations avec mention Assez Bien</t>
  </si>
  <si>
    <t>Pourcentage d acceptations avec mention Bien</t>
  </si>
  <si>
    <t>Pourcentage d acceptations avec mention Très Bien</t>
  </si>
  <si>
    <t>Pourcentage d acceptations parmi les bacheliers généraux</t>
  </si>
  <si>
    <t>Pourcentage d acceptations avec mention parmi les bacheliers généraux</t>
  </si>
  <si>
    <t>Pourcentage d acceptations parmi les bacheliers technologiques</t>
  </si>
  <si>
    <t>Pourcentage d acceptations avec mention parmi les bacheliers technologiques</t>
  </si>
  <si>
    <t>Pourcentage d acceptations parmi les bacheliers professionnels</t>
  </si>
  <si>
    <t>Pourcentage d acceptations avec mention parmi les bacheliers professionnels</t>
  </si>
  <si>
    <t>Nombre d acceptations en début de phase principale</t>
  </si>
  <si>
    <t>Nombre d acceptations à la date du bac</t>
  </si>
  <si>
    <t>Nombre d acceptations en fin de phase principale</t>
  </si>
  <si>
    <t>Pourcentage d acceptations en début de phase principale</t>
  </si>
  <si>
    <t>Pourcentage d acceptations à la date du bac</t>
  </si>
  <si>
    <t>Pourcentage d acceptations en fin de phase principale</t>
  </si>
  <si>
    <t>Proportion totale de propositions pour l apprentissage</t>
  </si>
  <si>
    <t>Taux d admission sur Parcoursup</t>
  </si>
  <si>
    <t>Taux d admission sur Parcoursup pour les formations professionnelles</t>
  </si>
  <si>
    <t>Taux d admission sur Parcoursup pour les formations générales</t>
  </si>
  <si>
    <t>Taux d admission sur Parcoursup pour les formations technologiques</t>
  </si>
  <si>
    <t>Libellé de la formation pour les vœux d inscription</t>
  </si>
  <si>
    <t>Nombre d acceptations avec mention Très Bien avec Félicitations</t>
  </si>
  <si>
    <t>Pourcentage d acceptations avec mention Très Bien avec Félicitations</t>
  </si>
  <si>
    <t>Liste d appel</t>
  </si>
  <si>
    <t>Taux d accès à l enseignement supérieur</t>
  </si>
  <si>
    <t>Part d accès pour les bacheliers généraux</t>
  </si>
  <si>
    <t>Part d accès pour les bacheliers technologiques</t>
  </si>
  <si>
    <t>Part d accès pour les bacheliers professionnels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</si>
</sst>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5">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1" xfId="0" applyBorder="1" applyAlignment="1">
      <alignment wrapText="1"/>
    </xf>
    <xf numFmtId="0" fontId="2" fillId="0" borderId="1" xfId="0" applyFont="1" applyBorder="1"/>
    <xf numFmtId="0" fontId="3" fillId="0" borderId="1" xfId="0" applyFont="1" applyBorder="1" applyAlignment="1">
      <alignment horizontal="center" vertical="top"/>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0" borderId="0" xfId="0" applyFont="1" applyAlignment="1">
      <alignment horizontal="center"/>
    </xf>
    <xf numFmtId="0" fontId="0" fillId="0" borderId="1" xfId="0" applyBorder="1"/>
    <xf numFmtId="0" fontId="2"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top" wrapText="1"/>
    </xf>
    <xf numFmtId="0" fontId="1" fillId="3" borderId="1" xfId="0" applyFont="1" applyFill="1" applyBorder="1" applyAlignment="1">
      <alignment horizontal="center" vertical="top" wrapText="1"/>
    </xf>
    <xf numFmtId="0" fontId="0" fillId="0" borderId="1" xfId="0" applyBorder="1" applyAlignment="1">
      <alignment horizontal="center" wrapText="1"/>
    </xf>
    <xf numFmtId="0" fontId="0" fillId="0" borderId="0" xfId="0" applyAlignment="1">
      <alignment horizontal="center" wrapText="1"/>
    </xf>
    <xf numFmtId="0" fontId="0" fillId="4" borderId="1" xfId="0"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FB1B-83FE-4241-9B21-F1114181609F}">
  <dimension ref="A1:J26"/>
  <sheetViews>
    <sheetView workbookViewId="0">
      <selection activeCell="B1" sqref="B1:B1048576"/>
    </sheetView>
  </sheetViews>
  <sheetFormatPr baseColWidth="10" defaultRowHeight="14.25" x14ac:dyDescent="0.45"/>
  <cols>
    <col min="1" max="1" width="22.3984375" bestFit="1" customWidth="1"/>
    <col min="2" max="2" width="45.3984375" bestFit="1" customWidth="1"/>
    <col min="3" max="3" width="42.59765625" style="2" customWidth="1"/>
  </cols>
  <sheetData>
    <row r="1" spans="1:10" s="8" customFormat="1" x14ac:dyDescent="0.45">
      <c r="A1" s="6" t="s">
        <v>44</v>
      </c>
      <c r="B1" s="6" t="s">
        <v>45</v>
      </c>
      <c r="C1" s="7" t="s">
        <v>46</v>
      </c>
      <c r="I1" s="10"/>
      <c r="J1" s="10"/>
    </row>
    <row r="2" spans="1:10" x14ac:dyDescent="0.45">
      <c r="A2" s="1" t="s">
        <v>0</v>
      </c>
      <c r="B2" s="1"/>
      <c r="C2" s="3"/>
      <c r="I2" s="11"/>
      <c r="J2" s="11"/>
    </row>
    <row r="3" spans="1:10" x14ac:dyDescent="0.45">
      <c r="A3" s="1" t="s">
        <v>1</v>
      </c>
      <c r="B3" s="1" t="s">
        <v>26</v>
      </c>
      <c r="C3" s="3" t="s">
        <v>249</v>
      </c>
      <c r="E3" t="str">
        <f>"'"&amp;A3&amp;"':"&amp;"'"&amp;B3&amp;"',"</f>
        <v>'etab_uai':'Identifiant Etablissement ',</v>
      </c>
      <c r="I3" s="11"/>
      <c r="J3" s="11"/>
    </row>
    <row r="4" spans="1:10" x14ac:dyDescent="0.45">
      <c r="A4" s="1" t="s">
        <v>2</v>
      </c>
      <c r="B4" s="1" t="s">
        <v>47</v>
      </c>
      <c r="C4" s="3"/>
      <c r="E4" t="str">
        <f t="shared" ref="E4:E22" si="0">"'"&amp;A4&amp;"':"&amp;"'"&amp;B4&amp;"',"</f>
        <v>'etab_nom':'nom de l établissement',</v>
      </c>
      <c r="I4" s="11"/>
      <c r="J4" s="11"/>
    </row>
    <row r="5" spans="1:10" x14ac:dyDescent="0.45">
      <c r="A5" s="1" t="s">
        <v>3</v>
      </c>
      <c r="B5" s="1" t="s">
        <v>48</v>
      </c>
      <c r="C5" s="3"/>
      <c r="E5" t="str">
        <f t="shared" si="0"/>
        <v>'tc':'Type d établissement',</v>
      </c>
      <c r="I5" s="11"/>
      <c r="J5" s="11"/>
    </row>
    <row r="6" spans="1:10" x14ac:dyDescent="0.45">
      <c r="A6" s="1" t="s">
        <v>4</v>
      </c>
      <c r="B6" s="1" t="s">
        <v>25</v>
      </c>
      <c r="C6" s="3"/>
      <c r="E6" t="str">
        <f t="shared" si="0"/>
        <v>'tf':'Type de formation',</v>
      </c>
      <c r="I6" s="11"/>
      <c r="J6" s="11"/>
    </row>
    <row r="7" spans="1:10" x14ac:dyDescent="0.45">
      <c r="A7" s="1" t="s">
        <v>5</v>
      </c>
      <c r="B7" s="1" t="s">
        <v>27</v>
      </c>
      <c r="C7" s="3"/>
      <c r="E7" t="str">
        <f t="shared" si="0"/>
        <v>'nm':'Nom de la formation',</v>
      </c>
      <c r="I7" s="11"/>
      <c r="J7" s="11"/>
    </row>
    <row r="8" spans="1:10" x14ac:dyDescent="0.45">
      <c r="A8" s="1" t="s">
        <v>6</v>
      </c>
      <c r="B8" s="1" t="s">
        <v>28</v>
      </c>
      <c r="C8" s="3"/>
      <c r="E8" t="str">
        <f t="shared" si="0"/>
        <v>'fl':'Mentions Spécialités',</v>
      </c>
      <c r="I8" s="11"/>
      <c r="J8" s="11"/>
    </row>
    <row r="9" spans="1:10" x14ac:dyDescent="0.45">
      <c r="A9" s="1" t="s">
        <v>7</v>
      </c>
      <c r="B9" s="1" t="s">
        <v>29</v>
      </c>
      <c r="C9" s="3"/>
      <c r="E9" t="str">
        <f t="shared" si="0"/>
        <v>'app':'Apprentissage',</v>
      </c>
      <c r="I9" s="11"/>
      <c r="J9" s="11"/>
    </row>
    <row r="10" spans="1:10" x14ac:dyDescent="0.45">
      <c r="A10" s="1" t="s">
        <v>8</v>
      </c>
      <c r="B10" s="1" t="s">
        <v>30</v>
      </c>
      <c r="C10" s="3"/>
      <c r="E10" t="str">
        <f t="shared" si="0"/>
        <v>'int':'Internat',</v>
      </c>
      <c r="I10" s="11"/>
      <c r="J10" s="11"/>
    </row>
    <row r="11" spans="1:10" x14ac:dyDescent="0.45">
      <c r="A11" s="1" t="s">
        <v>9</v>
      </c>
      <c r="B11" s="1" t="s">
        <v>31</v>
      </c>
      <c r="C11" s="3"/>
      <c r="E11" t="str">
        <f t="shared" si="0"/>
        <v>'amg':'Aménagement',</v>
      </c>
      <c r="I11" s="11"/>
      <c r="J11" s="11"/>
    </row>
    <row r="12" spans="1:10" x14ac:dyDescent="0.45">
      <c r="A12" s="1" t="s">
        <v>10</v>
      </c>
      <c r="B12" s="1"/>
      <c r="C12" s="3"/>
      <c r="I12" s="11"/>
      <c r="J12" s="11"/>
    </row>
    <row r="13" spans="1:10" x14ac:dyDescent="0.45">
      <c r="A13" s="1" t="s">
        <v>11</v>
      </c>
      <c r="B13" s="1" t="s">
        <v>32</v>
      </c>
      <c r="C13" s="3"/>
      <c r="E13" t="str">
        <f t="shared" si="0"/>
        <v>'region':'Région',</v>
      </c>
      <c r="I13" s="11"/>
      <c r="J13" s="11"/>
    </row>
    <row r="14" spans="1:10" x14ac:dyDescent="0.45">
      <c r="A14" s="1" t="s">
        <v>12</v>
      </c>
      <c r="B14" s="1" t="s">
        <v>33</v>
      </c>
      <c r="C14" s="3"/>
      <c r="E14" t="str">
        <f t="shared" si="0"/>
        <v>'departement':'Département',</v>
      </c>
      <c r="I14" s="11"/>
      <c r="J14" s="11"/>
    </row>
    <row r="15" spans="1:10" x14ac:dyDescent="0.45">
      <c r="A15" s="1" t="s">
        <v>13</v>
      </c>
      <c r="B15" s="1" t="s">
        <v>34</v>
      </c>
      <c r="C15" s="3"/>
      <c r="E15" t="str">
        <f t="shared" si="0"/>
        <v>'commune':'Commune',</v>
      </c>
      <c r="I15" s="11"/>
      <c r="J15" s="11"/>
    </row>
    <row r="16" spans="1:10" x14ac:dyDescent="0.45">
      <c r="A16" s="1" t="s">
        <v>14</v>
      </c>
      <c r="B16" s="1" t="s">
        <v>35</v>
      </c>
      <c r="C16" s="3"/>
      <c r="E16" t="str">
        <f t="shared" si="0"/>
        <v>'fiche':'Lien vers la fiche formation',</v>
      </c>
      <c r="I16" s="11"/>
      <c r="J16" s="11"/>
    </row>
    <row r="17" spans="1:10" x14ac:dyDescent="0.45">
      <c r="A17" s="1" t="s">
        <v>15</v>
      </c>
      <c r="B17" s="1" t="s">
        <v>36</v>
      </c>
      <c r="C17" s="3"/>
      <c r="E17" t="str">
        <f t="shared" si="0"/>
        <v>'dataviz':'Lien vers les données statistiques',</v>
      </c>
      <c r="I17" s="11"/>
      <c r="J17" s="11"/>
    </row>
    <row r="18" spans="1:10" x14ac:dyDescent="0.45">
      <c r="A18" s="1" t="s">
        <v>16</v>
      </c>
      <c r="B18" s="1" t="s">
        <v>49</v>
      </c>
      <c r="C18" s="3"/>
      <c r="E18" t="str">
        <f t="shared" si="0"/>
        <v>'etab_url':'Site internet de l étabilissement',</v>
      </c>
      <c r="I18" s="11"/>
      <c r="J18" s="11"/>
    </row>
    <row r="19" spans="1:10" x14ac:dyDescent="0.45">
      <c r="A19" s="1" t="s">
        <v>17</v>
      </c>
      <c r="B19" s="1"/>
      <c r="C19" s="3"/>
      <c r="I19" s="11"/>
      <c r="J19" s="11"/>
    </row>
    <row r="20" spans="1:10" x14ac:dyDescent="0.45">
      <c r="A20" s="1" t="s">
        <v>18</v>
      </c>
      <c r="B20" s="1" t="s">
        <v>37</v>
      </c>
      <c r="C20" s="3"/>
      <c r="E20" t="str">
        <f t="shared" si="0"/>
        <v>'nmc':'Nom court de la formation',</v>
      </c>
      <c r="I20" s="11"/>
      <c r="J20" s="11"/>
    </row>
    <row r="21" spans="1:10" ht="114" x14ac:dyDescent="0.45">
      <c r="A21" s="1" t="s">
        <v>19</v>
      </c>
      <c r="B21" s="4" t="s">
        <v>50</v>
      </c>
      <c r="C21" s="3" t="s">
        <v>43</v>
      </c>
      <c r="E21" t="str">
        <f t="shared" si="0"/>
        <v>'gta':'GTA   Gestion des Désistements en Phase d’Admission',</v>
      </c>
      <c r="I21" s="11"/>
      <c r="J21" s="11"/>
    </row>
    <row r="22" spans="1:10" ht="128.25" x14ac:dyDescent="0.45">
      <c r="A22" s="1" t="s">
        <v>20</v>
      </c>
      <c r="B22" s="4" t="s">
        <v>51</v>
      </c>
      <c r="C22" s="3" t="s">
        <v>42</v>
      </c>
      <c r="E22" t="str">
        <f t="shared" si="0"/>
        <v>'gti':'GTI   Groupe de Traitement des Inscriptions',</v>
      </c>
      <c r="I22" s="11"/>
      <c r="J22" s="11"/>
    </row>
    <row r="23" spans="1:10" ht="28.5" x14ac:dyDescent="0.45">
      <c r="A23" s="1" t="s">
        <v>21</v>
      </c>
      <c r="B23" s="1"/>
      <c r="C23" s="3" t="s">
        <v>38</v>
      </c>
      <c r="I23" s="11"/>
      <c r="J23" s="11"/>
    </row>
    <row r="24" spans="1:10" ht="99.75" x14ac:dyDescent="0.45">
      <c r="A24" s="1" t="s">
        <v>22</v>
      </c>
      <c r="B24" s="1"/>
      <c r="C24" s="3" t="s">
        <v>39</v>
      </c>
      <c r="I24" s="11"/>
      <c r="J24" s="11"/>
    </row>
    <row r="25" spans="1:10" ht="156.75" x14ac:dyDescent="0.45">
      <c r="A25" s="1" t="s">
        <v>23</v>
      </c>
      <c r="B25" s="5" t="s">
        <v>41</v>
      </c>
      <c r="C25" s="3" t="s">
        <v>40</v>
      </c>
      <c r="E25" t="str">
        <f t="shared" ref="E25:E26" si="1">"'"&amp;A25&amp;"':"&amp;"'"&amp;B25&amp;"',"</f>
        <v>'rnd':'Rang du dernier candidat appelé',</v>
      </c>
      <c r="I25" s="11"/>
      <c r="J25" s="11"/>
    </row>
    <row r="26" spans="1:10" x14ac:dyDescent="0.45">
      <c r="A26" s="1" t="s">
        <v>24</v>
      </c>
      <c r="B26" s="5" t="s">
        <v>248</v>
      </c>
      <c r="C26" s="3"/>
      <c r="E26" t="str">
        <f t="shared" si="1"/>
        <v>'code_formation':'Code unique de la formation',</v>
      </c>
      <c r="I26" s="11"/>
      <c r="J26" s="11"/>
    </row>
  </sheetData>
  <autoFilter ref="A1:C26" xr:uid="{E448FB1B-83FE-4241-9B21-F1114181609F}"/>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927B7-B969-4A6A-BE8A-48EAA86AC440}">
  <sheetPr filterMode="1"/>
  <dimension ref="A1:F130"/>
  <sheetViews>
    <sheetView tabSelected="1" topLeftCell="A115" workbookViewId="0">
      <selection activeCell="F2" sqref="F2:F129"/>
    </sheetView>
  </sheetViews>
  <sheetFormatPr baseColWidth="10" defaultRowHeight="14.25" x14ac:dyDescent="0.45"/>
  <cols>
    <col min="1" max="1" width="25.796875" bestFit="1" customWidth="1"/>
    <col min="2" max="2" width="26.59765625" customWidth="1"/>
    <col min="3" max="3" width="27.796875" style="15" customWidth="1"/>
    <col min="4" max="4" width="46.33203125" customWidth="1"/>
    <col min="5" max="5" width="37.19921875" customWidth="1"/>
  </cols>
  <sheetData>
    <row r="1" spans="1:6" x14ac:dyDescent="0.45">
      <c r="A1" s="6" t="s">
        <v>44</v>
      </c>
      <c r="B1" s="6" t="s">
        <v>251</v>
      </c>
      <c r="C1" s="7" t="s">
        <v>45</v>
      </c>
      <c r="D1" s="7" t="s">
        <v>46</v>
      </c>
      <c r="E1" s="7" t="s">
        <v>254</v>
      </c>
    </row>
    <row r="2" spans="1:6" x14ac:dyDescent="0.45">
      <c r="A2" s="9" t="s">
        <v>52</v>
      </c>
      <c r="B2" s="9" t="s">
        <v>181</v>
      </c>
      <c r="C2" s="12" t="s">
        <v>0</v>
      </c>
      <c r="D2" s="9"/>
      <c r="E2" s="9"/>
      <c r="F2" t="str">
        <f>"'"&amp;A2&amp;"':"&amp;"'"&amp;C2&amp;"',"</f>
        <v>'session':'annee',</v>
      </c>
    </row>
    <row r="3" spans="1:6" x14ac:dyDescent="0.45">
      <c r="A3" s="9" t="s">
        <v>53</v>
      </c>
      <c r="B3" s="9" t="s">
        <v>182</v>
      </c>
      <c r="C3" s="13" t="s">
        <v>26</v>
      </c>
      <c r="D3" s="9"/>
      <c r="E3" s="9"/>
      <c r="F3" t="str">
        <f>"'"&amp;A3&amp;"':"&amp;"'"&amp;C3&amp;"',"</f>
        <v>'cod_uai':'Identifiant Etablissement ',</v>
      </c>
    </row>
    <row r="4" spans="1:6" hidden="1" x14ac:dyDescent="0.45">
      <c r="A4" s="9" t="s">
        <v>54</v>
      </c>
      <c r="B4" s="9" t="s">
        <v>183</v>
      </c>
      <c r="C4" s="13" t="s">
        <v>47</v>
      </c>
      <c r="D4" s="9"/>
      <c r="E4" s="9" t="s">
        <v>256</v>
      </c>
    </row>
    <row r="5" spans="1:6" hidden="1" x14ac:dyDescent="0.45">
      <c r="A5" s="9" t="s">
        <v>55</v>
      </c>
      <c r="B5" s="9" t="s">
        <v>184</v>
      </c>
      <c r="C5" s="13" t="s">
        <v>179</v>
      </c>
      <c r="D5" s="9"/>
      <c r="E5" s="9" t="s">
        <v>256</v>
      </c>
    </row>
    <row r="6" spans="1:6" hidden="1" x14ac:dyDescent="0.45">
      <c r="A6" s="9" t="s">
        <v>56</v>
      </c>
      <c r="B6" s="9" t="s">
        <v>185</v>
      </c>
      <c r="C6" s="13" t="s">
        <v>33</v>
      </c>
      <c r="D6" s="9"/>
      <c r="E6" s="9" t="s">
        <v>256</v>
      </c>
    </row>
    <row r="7" spans="1:6" hidden="1" x14ac:dyDescent="0.45">
      <c r="A7" s="9" t="s">
        <v>57</v>
      </c>
      <c r="B7" s="9" t="s">
        <v>186</v>
      </c>
      <c r="C7" s="13" t="s">
        <v>32</v>
      </c>
      <c r="D7" s="9"/>
      <c r="E7" s="9" t="s">
        <v>256</v>
      </c>
    </row>
    <row r="8" spans="1:6" x14ac:dyDescent="0.45">
      <c r="A8" s="9" t="s">
        <v>58</v>
      </c>
      <c r="B8" s="9" t="s">
        <v>185</v>
      </c>
      <c r="C8" s="16" t="s">
        <v>180</v>
      </c>
      <c r="D8" s="9"/>
      <c r="E8" s="9" t="s">
        <v>253</v>
      </c>
      <c r="F8" t="str">
        <f t="shared" ref="F8:F13" si="0">"'"&amp;A8&amp;"':"&amp;"'"&amp;C8&amp;"',"</f>
        <v>'acad_mies':'Académie',</v>
      </c>
    </row>
    <row r="9" spans="1:6" x14ac:dyDescent="0.45">
      <c r="A9" s="9" t="s">
        <v>59</v>
      </c>
      <c r="B9" s="9" t="s">
        <v>187</v>
      </c>
      <c r="C9" s="11" t="s">
        <v>206</v>
      </c>
      <c r="D9" s="9"/>
      <c r="E9" s="9"/>
      <c r="F9" t="str">
        <f t="shared" si="0"/>
        <v>'fili':'Filière de formation',</v>
      </c>
    </row>
    <row r="10" spans="1:6" ht="28.5" x14ac:dyDescent="0.45">
      <c r="A10" s="9" t="s">
        <v>60</v>
      </c>
      <c r="B10" s="9" t="s">
        <v>188</v>
      </c>
      <c r="C10" s="14" t="s">
        <v>377</v>
      </c>
      <c r="D10" s="9"/>
      <c r="E10" s="9"/>
      <c r="F10" t="str">
        <f t="shared" si="0"/>
        <v>'form_lib_voe_acc':'Libellé de la formation (tel qu affiché aux candidats)',</v>
      </c>
    </row>
    <row r="11" spans="1:6" x14ac:dyDescent="0.45">
      <c r="A11" s="9" t="s">
        <v>61</v>
      </c>
      <c r="B11" s="9"/>
      <c r="C11" s="11" t="s">
        <v>207</v>
      </c>
      <c r="D11" s="9"/>
      <c r="E11" s="9"/>
      <c r="F11" t="str">
        <f t="shared" si="0"/>
        <v>'regr_forma':'Régime de la formation',</v>
      </c>
    </row>
    <row r="12" spans="1:6" ht="28.5" x14ac:dyDescent="0.45">
      <c r="A12" s="9" t="s">
        <v>62</v>
      </c>
      <c r="B12" s="9" t="s">
        <v>189</v>
      </c>
      <c r="C12" s="11" t="s">
        <v>378</v>
      </c>
      <c r="D12" s="9"/>
      <c r="E12" s="9"/>
      <c r="F12" t="str">
        <f t="shared" si="0"/>
        <v>'fil_lib_voe_acc':'Libellé de la filière (tel qu affiché aux candidats)',</v>
      </c>
    </row>
    <row r="13" spans="1:6" x14ac:dyDescent="0.45">
      <c r="A13" s="9" t="s">
        <v>63</v>
      </c>
      <c r="B13" s="9"/>
      <c r="C13" s="11" t="s">
        <v>208</v>
      </c>
      <c r="D13" s="9"/>
      <c r="E13" s="9"/>
      <c r="F13" t="str">
        <f t="shared" si="0"/>
        <v>'detail_forma':'Détails sur la formation',</v>
      </c>
    </row>
    <row r="14" spans="1:6" ht="28.5" hidden="1" x14ac:dyDescent="0.45">
      <c r="A14" s="9" t="s">
        <v>64</v>
      </c>
      <c r="B14" s="9" t="s">
        <v>190</v>
      </c>
      <c r="C14" s="11" t="s">
        <v>209</v>
      </c>
      <c r="D14" s="9"/>
      <c r="E14" s="9" t="s">
        <v>255</v>
      </c>
    </row>
    <row r="15" spans="1:6" ht="28.5" hidden="1" x14ac:dyDescent="0.45">
      <c r="A15" s="9" t="s">
        <v>65</v>
      </c>
      <c r="B15" s="9" t="s">
        <v>191</v>
      </c>
      <c r="C15" s="11" t="s">
        <v>210</v>
      </c>
      <c r="D15" s="9"/>
      <c r="E15" s="9" t="s">
        <v>255</v>
      </c>
    </row>
    <row r="16" spans="1:6" ht="28.5" x14ac:dyDescent="0.45">
      <c r="A16" s="9" t="s">
        <v>66</v>
      </c>
      <c r="B16" s="9">
        <v>140</v>
      </c>
      <c r="C16" s="14" t="s">
        <v>379</v>
      </c>
      <c r="D16" s="9"/>
      <c r="E16" s="9"/>
      <c r="F16" t="str">
        <f t="shared" ref="F16:F79" si="1">"'"&amp;A16&amp;"':"&amp;"'"&amp;C16&amp;"',"</f>
        <v>'capa_fin':'Capacité d accueil finale de la formation',</v>
      </c>
    </row>
    <row r="17" spans="1:6" x14ac:dyDescent="0.45">
      <c r="A17" s="9" t="s">
        <v>67</v>
      </c>
      <c r="B17" s="9">
        <v>9893</v>
      </c>
      <c r="C17" s="14" t="s">
        <v>211</v>
      </c>
      <c r="D17" s="9"/>
      <c r="E17" s="9"/>
      <c r="F17" t="str">
        <f t="shared" si="1"/>
        <v>'voe_tot':'Nombre total de vœux confirmés',</v>
      </c>
    </row>
    <row r="18" spans="1:6" ht="28.5" x14ac:dyDescent="0.45">
      <c r="A18" s="9" t="s">
        <v>68</v>
      </c>
      <c r="B18" s="9">
        <v>6969</v>
      </c>
      <c r="C18" s="14" t="s">
        <v>212</v>
      </c>
      <c r="D18" s="9"/>
      <c r="E18" s="9"/>
      <c r="F18" t="str">
        <f t="shared" si="1"/>
        <v>'voe_tot_f':'Nombre total de vœux confirmés par des filles',</v>
      </c>
    </row>
    <row r="19" spans="1:6" ht="28.5" x14ac:dyDescent="0.45">
      <c r="A19" s="9" t="s">
        <v>69</v>
      </c>
      <c r="B19" s="9">
        <v>9893</v>
      </c>
      <c r="C19" s="14" t="s">
        <v>213</v>
      </c>
      <c r="D19" s="9"/>
      <c r="E19" s="9"/>
      <c r="F19" t="str">
        <f t="shared" si="1"/>
        <v>'nb_voe_pp':'Nombre de vœux confirmés en phase principale',</v>
      </c>
    </row>
    <row r="20" spans="1:6" ht="28.5" x14ac:dyDescent="0.45">
      <c r="A20" s="9" t="s">
        <v>70</v>
      </c>
      <c r="B20" s="9"/>
      <c r="C20" s="14" t="s">
        <v>380</v>
      </c>
      <c r="D20" s="9"/>
      <c r="E20" s="9"/>
      <c r="F20" t="str">
        <f t="shared" si="1"/>
        <v>'nb_voe_pp_internat':'Nombre de vœux confirmés en phase principale pour l internat',</v>
      </c>
    </row>
    <row r="21" spans="1:6" ht="42.75" x14ac:dyDescent="0.45">
      <c r="A21" s="9" t="s">
        <v>71</v>
      </c>
      <c r="B21" s="9">
        <v>7407</v>
      </c>
      <c r="C21" s="14" t="s">
        <v>214</v>
      </c>
      <c r="D21" s="9"/>
      <c r="E21" s="9"/>
      <c r="F21" t="str">
        <f t="shared" si="1"/>
        <v>'nb_voe_pp_bg':'Nombre de vœux confirmés en phase principale par des bacheliers généraux',</v>
      </c>
    </row>
    <row r="22" spans="1:6" ht="42.75" x14ac:dyDescent="0.45">
      <c r="A22" s="9" t="s">
        <v>72</v>
      </c>
      <c r="B22" s="9">
        <v>1323</v>
      </c>
      <c r="C22" s="14" t="s">
        <v>215</v>
      </c>
      <c r="D22" s="9"/>
      <c r="E22" s="9"/>
      <c r="F22" t="str">
        <f t="shared" si="1"/>
        <v>'nb_voe_pp_bg_brs':'Nombre de vœux confirmés en phase principale par des bacheliers généraux boursiers',</v>
      </c>
    </row>
    <row r="23" spans="1:6" ht="42.75" x14ac:dyDescent="0.45">
      <c r="A23" s="9" t="s">
        <v>73</v>
      </c>
      <c r="B23" s="9">
        <v>217</v>
      </c>
      <c r="C23" s="14" t="s">
        <v>216</v>
      </c>
      <c r="D23" s="9"/>
      <c r="E23" s="9"/>
      <c r="F23" t="str">
        <f t="shared" si="1"/>
        <v>'nb_voe_pp_bt':'Nombre de vœux confirmés en phase principale par des bacheliers technologiques',</v>
      </c>
    </row>
    <row r="24" spans="1:6" ht="57" x14ac:dyDescent="0.45">
      <c r="A24" s="9" t="s">
        <v>74</v>
      </c>
      <c r="B24" s="9">
        <v>75</v>
      </c>
      <c r="C24" s="14" t="s">
        <v>217</v>
      </c>
      <c r="D24" s="9"/>
      <c r="E24" s="9"/>
      <c r="F24" t="str">
        <f t="shared" si="1"/>
        <v>'nb_voe_pp_bt_brs':'Nombre de vœux confirmés en phase principale par des bacheliers technologiques boursiers',</v>
      </c>
    </row>
    <row r="25" spans="1:6" ht="42.75" x14ac:dyDescent="0.45">
      <c r="A25" s="9" t="s">
        <v>75</v>
      </c>
      <c r="B25" s="9">
        <v>100</v>
      </c>
      <c r="C25" s="14" t="s">
        <v>218</v>
      </c>
      <c r="D25" s="9"/>
      <c r="E25" s="9"/>
      <c r="F25" t="str">
        <f t="shared" si="1"/>
        <v>'nb_voe_pp_bp':'Nombre de vœux confirmés en phase principale par des bacheliers professionnels',</v>
      </c>
    </row>
    <row r="26" spans="1:6" ht="57" x14ac:dyDescent="0.45">
      <c r="A26" s="9" t="s">
        <v>76</v>
      </c>
      <c r="B26" s="9">
        <v>34</v>
      </c>
      <c r="C26" s="14" t="s">
        <v>219</v>
      </c>
      <c r="D26" s="9"/>
      <c r="E26" s="9"/>
      <c r="F26" t="str">
        <f t="shared" si="1"/>
        <v>'nb_voe_pp_bp_brs':'Nombre de vœux confirmés en phase principale par des bacheliers professionnels boursiers',</v>
      </c>
    </row>
    <row r="27" spans="1:6" ht="28.5" x14ac:dyDescent="0.45">
      <c r="A27" s="9" t="s">
        <v>77</v>
      </c>
      <c r="B27" s="9">
        <v>2169</v>
      </c>
      <c r="C27" s="14" t="s">
        <v>220</v>
      </c>
      <c r="D27" s="9"/>
      <c r="E27" s="9"/>
      <c r="F27" t="str">
        <f t="shared" si="1"/>
        <v>'nb_voe_pp_at':'Nombre de vœux confirmés en phase principale en apprentissage',</v>
      </c>
    </row>
    <row r="28" spans="1:6" ht="28.5" x14ac:dyDescent="0.45">
      <c r="A28" s="9" t="s">
        <v>78</v>
      </c>
      <c r="B28" s="9">
        <v>0</v>
      </c>
      <c r="C28" s="14" t="s">
        <v>221</v>
      </c>
      <c r="D28" s="9"/>
      <c r="E28" s="9"/>
      <c r="F28" t="str">
        <f t="shared" si="1"/>
        <v>'nb_voe_pc':'Nombre de vœux confirmés en phase complémentaire',</v>
      </c>
    </row>
    <row r="29" spans="1:6" ht="42.75" x14ac:dyDescent="0.45">
      <c r="A29" s="9" t="s">
        <v>79</v>
      </c>
      <c r="B29" s="9">
        <v>0</v>
      </c>
      <c r="C29" s="14" t="s">
        <v>222</v>
      </c>
      <c r="D29" s="9"/>
      <c r="E29" s="9"/>
      <c r="F29" t="str">
        <f t="shared" si="1"/>
        <v>'nb_voe_pc_bg':'Nombre de vœux confirmés en phase complémentaire par des bacheliers généraux',</v>
      </c>
    </row>
    <row r="30" spans="1:6" ht="42.75" x14ac:dyDescent="0.45">
      <c r="A30" s="9" t="s">
        <v>80</v>
      </c>
      <c r="B30" s="9">
        <v>0</v>
      </c>
      <c r="C30" s="14" t="s">
        <v>223</v>
      </c>
      <c r="D30" s="9"/>
      <c r="E30" s="9"/>
      <c r="F30" t="str">
        <f t="shared" si="1"/>
        <v>'nb_voe_pc_bt':'Nombre de vœux confirmés en phase complémentaire par des bacheliers technologiques',</v>
      </c>
    </row>
    <row r="31" spans="1:6" ht="42.75" x14ac:dyDescent="0.45">
      <c r="A31" s="9" t="s">
        <v>81</v>
      </c>
      <c r="B31" s="9">
        <v>0</v>
      </c>
      <c r="C31" s="14" t="s">
        <v>224</v>
      </c>
      <c r="D31" s="9"/>
      <c r="E31" s="9"/>
      <c r="F31" t="str">
        <f t="shared" si="1"/>
        <v>'nb_voe_pc_bp':'Nombre de vœux confirmés en phase complémentaire par des bacheliers professionnels',</v>
      </c>
    </row>
    <row r="32" spans="1:6" ht="42.75" x14ac:dyDescent="0.45">
      <c r="A32" s="9" t="s">
        <v>82</v>
      </c>
      <c r="B32" s="9">
        <v>0</v>
      </c>
      <c r="C32" s="14" t="s">
        <v>225</v>
      </c>
      <c r="D32" s="9"/>
      <c r="E32" s="9"/>
      <c r="F32" t="str">
        <f t="shared" si="1"/>
        <v>'nb_voe_pc_at':'Nombre de vœux confirmés en phase complémentaire en apprentissage',</v>
      </c>
    </row>
    <row r="33" spans="1:6" ht="28.5" x14ac:dyDescent="0.45">
      <c r="A33" s="9" t="s">
        <v>83</v>
      </c>
      <c r="B33" s="9">
        <v>9849</v>
      </c>
      <c r="C33" s="14" t="s">
        <v>381</v>
      </c>
      <c r="D33" s="9"/>
      <c r="E33" s="9"/>
      <c r="F33" t="str">
        <f t="shared" si="1"/>
        <v>'nb_cla_pp':'Nombre de candidats en liste d appel en phase principale',</v>
      </c>
    </row>
    <row r="34" spans="1:6" ht="28.5" x14ac:dyDescent="0.45">
      <c r="A34" s="9" t="s">
        <v>84</v>
      </c>
      <c r="B34" s="9">
        <v>0</v>
      </c>
      <c r="C34" s="14" t="s">
        <v>382</v>
      </c>
      <c r="D34" s="9"/>
      <c r="E34" s="9"/>
      <c r="F34" t="str">
        <f t="shared" si="1"/>
        <v>'nb_cla_pc':'Nombre de candidats en liste d appel en phase complémentaire',</v>
      </c>
    </row>
    <row r="35" spans="1:6" ht="42.75" x14ac:dyDescent="0.45">
      <c r="A35" s="9" t="s">
        <v>85</v>
      </c>
      <c r="B35" s="9"/>
      <c r="C35" s="14" t="s">
        <v>383</v>
      </c>
      <c r="D35" s="9"/>
      <c r="E35" s="9"/>
      <c r="F35" t="str">
        <f t="shared" si="1"/>
        <v>'nb_cla_pp_internat':'Nombre de candidats en liste d appel en phase principale pour l internat',</v>
      </c>
    </row>
    <row r="36" spans="1:6" ht="42.75" x14ac:dyDescent="0.45">
      <c r="A36" s="9" t="s">
        <v>86</v>
      </c>
      <c r="B36" s="9"/>
      <c r="C36" s="14" t="s">
        <v>384</v>
      </c>
      <c r="D36" s="9"/>
      <c r="E36" s="9"/>
      <c r="F36" t="str">
        <f t="shared" si="1"/>
        <v>'nb_cla_pp_pasinternat':'Nombre de candidats en liste d appel en phase principale sans internat',</v>
      </c>
    </row>
    <row r="37" spans="1:6" ht="42.75" x14ac:dyDescent="0.45">
      <c r="A37" s="9" t="s">
        <v>87</v>
      </c>
      <c r="B37" s="9">
        <v>7407</v>
      </c>
      <c r="C37" s="14" t="s">
        <v>385</v>
      </c>
      <c r="D37" s="9"/>
      <c r="E37" s="9"/>
      <c r="F37" t="str">
        <f t="shared" si="1"/>
        <v>'nb_cla_pp_bg':'Nombre de candidats en liste d appel en phase principale parmi les bacheliers généraux',</v>
      </c>
    </row>
    <row r="38" spans="1:6" ht="42.75" x14ac:dyDescent="0.45">
      <c r="A38" s="9" t="s">
        <v>88</v>
      </c>
      <c r="B38" s="9">
        <v>1323</v>
      </c>
      <c r="C38" s="14" t="s">
        <v>386</v>
      </c>
      <c r="D38" s="9"/>
      <c r="E38" s="9"/>
      <c r="F38" t="str">
        <f t="shared" si="1"/>
        <v>'nb_cla_pp_bg_brs':'Nombre de candidats en liste d appel en phase principale parmi les bacheliers généraux boursiers',</v>
      </c>
    </row>
    <row r="39" spans="1:6" ht="42.75" x14ac:dyDescent="0.45">
      <c r="A39" s="9" t="s">
        <v>89</v>
      </c>
      <c r="B39" s="9">
        <v>217</v>
      </c>
      <c r="C39" s="14" t="s">
        <v>387</v>
      </c>
      <c r="D39" s="9"/>
      <c r="E39" s="9"/>
      <c r="F39" t="str">
        <f t="shared" si="1"/>
        <v>'nb_cla_pp_bt':'Nombre de candidats en liste d appel en phase principale parmi les bacheliers technologiques',</v>
      </c>
    </row>
    <row r="40" spans="1:6" ht="57" x14ac:dyDescent="0.45">
      <c r="A40" s="9" t="s">
        <v>90</v>
      </c>
      <c r="B40" s="9">
        <v>75</v>
      </c>
      <c r="C40" s="14" t="s">
        <v>388</v>
      </c>
      <c r="D40" s="9"/>
      <c r="E40" s="9"/>
      <c r="F40" t="str">
        <f t="shared" si="1"/>
        <v>'nb_cla_pp_bt_brs':'Nombre de candidats en liste d appel en phase principale parmi les bacheliers technologiques boursiers',</v>
      </c>
    </row>
    <row r="41" spans="1:6" ht="42.75" x14ac:dyDescent="0.45">
      <c r="A41" s="9" t="s">
        <v>91</v>
      </c>
      <c r="B41" s="9">
        <v>100</v>
      </c>
      <c r="C41" s="14" t="s">
        <v>389</v>
      </c>
      <c r="D41" s="9"/>
      <c r="E41" s="9"/>
      <c r="F41" t="str">
        <f t="shared" si="1"/>
        <v>'nb_cla_pp_bp':'Nombre de candidats en liste d appel en phase principale parmi les bacheliers professionnels',</v>
      </c>
    </row>
    <row r="42" spans="1:6" ht="57" x14ac:dyDescent="0.45">
      <c r="A42" s="9" t="s">
        <v>92</v>
      </c>
      <c r="B42" s="9">
        <v>34</v>
      </c>
      <c r="C42" s="14" t="s">
        <v>390</v>
      </c>
      <c r="D42" s="9"/>
      <c r="E42" s="9"/>
      <c r="F42" t="str">
        <f t="shared" si="1"/>
        <v>'nb_cla_pp_bp_brs':'Nombre de candidats en liste d appel en phase principale parmi les bacheliers professionnels boursiers',</v>
      </c>
    </row>
    <row r="43" spans="1:6" ht="42.75" x14ac:dyDescent="0.45">
      <c r="A43" s="9" t="s">
        <v>93</v>
      </c>
      <c r="B43" s="9">
        <v>2125</v>
      </c>
      <c r="C43" s="14" t="s">
        <v>391</v>
      </c>
      <c r="D43" s="9"/>
      <c r="E43" s="9"/>
      <c r="F43" t="str">
        <f t="shared" si="1"/>
        <v>'nb_cla_pp_at':'Nombre de candidats en liste d appel en phase principale en apprentissage',</v>
      </c>
    </row>
    <row r="44" spans="1:6" ht="28.5" x14ac:dyDescent="0.45">
      <c r="A44" s="9" t="s">
        <v>94</v>
      </c>
      <c r="B44" s="9">
        <v>1400</v>
      </c>
      <c r="C44" s="14" t="s">
        <v>392</v>
      </c>
      <c r="D44" s="9"/>
      <c r="E44" s="9"/>
      <c r="F44" t="str">
        <f t="shared" si="1"/>
        <v>'prop_tot':'Nombre total de propositions d admission',</v>
      </c>
    </row>
    <row r="45" spans="1:6" x14ac:dyDescent="0.45">
      <c r="A45" s="9" t="s">
        <v>95</v>
      </c>
      <c r="B45" s="9"/>
      <c r="C45" s="14" t="s">
        <v>41</v>
      </c>
      <c r="D45" s="9"/>
      <c r="E45" s="9"/>
      <c r="F45" t="str">
        <f t="shared" si="1"/>
        <v>'rang_der_max':'Rang du dernier candidat appelé',</v>
      </c>
    </row>
    <row r="46" spans="1:6" x14ac:dyDescent="0.45">
      <c r="A46" s="9" t="s">
        <v>96</v>
      </c>
      <c r="B46" s="9">
        <v>137</v>
      </c>
      <c r="C46" s="14" t="s">
        <v>393</v>
      </c>
      <c r="D46" s="9"/>
      <c r="E46" s="9"/>
      <c r="F46" t="str">
        <f t="shared" si="1"/>
        <v>'acc_tot':'Nombre total d acceptations',</v>
      </c>
    </row>
    <row r="47" spans="1:6" ht="28.5" x14ac:dyDescent="0.45">
      <c r="A47" s="9" t="s">
        <v>97</v>
      </c>
      <c r="B47" s="9">
        <v>104</v>
      </c>
      <c r="C47" s="14" t="s">
        <v>394</v>
      </c>
      <c r="D47" s="9"/>
      <c r="E47" s="9"/>
      <c r="F47" t="str">
        <f t="shared" si="1"/>
        <v>'acc_tot_f':'Nombre total d acceptations par des filles',</v>
      </c>
    </row>
    <row r="48" spans="1:6" ht="28.5" x14ac:dyDescent="0.45">
      <c r="A48" s="9" t="s">
        <v>98</v>
      </c>
      <c r="B48" s="9">
        <v>137</v>
      </c>
      <c r="C48" s="14" t="s">
        <v>395</v>
      </c>
      <c r="D48" s="9"/>
      <c r="E48" s="9"/>
      <c r="F48" t="str">
        <f t="shared" si="1"/>
        <v>'acc_pp':'Nombre d acceptations en phase principale',</v>
      </c>
    </row>
    <row r="49" spans="1:6" ht="28.5" x14ac:dyDescent="0.45">
      <c r="A49" s="9" t="s">
        <v>99</v>
      </c>
      <c r="B49" s="9">
        <v>0</v>
      </c>
      <c r="C49" s="14" t="s">
        <v>396</v>
      </c>
      <c r="D49" s="9"/>
      <c r="E49" s="9"/>
      <c r="F49" t="str">
        <f t="shared" si="1"/>
        <v>'acc_pc':'Nombre d acceptations en phase complémentaire',</v>
      </c>
    </row>
    <row r="50" spans="1:6" ht="28.5" x14ac:dyDescent="0.45">
      <c r="A50" s="9" t="s">
        <v>100</v>
      </c>
      <c r="B50" s="9"/>
      <c r="C50" s="14" t="s">
        <v>397</v>
      </c>
      <c r="D50" s="9"/>
      <c r="E50" s="9"/>
      <c r="F50" t="str">
        <f t="shared" si="1"/>
        <v>'acc_internat':'Nombre d acceptations pour l internat',</v>
      </c>
    </row>
    <row r="51" spans="1:6" ht="28.5" x14ac:dyDescent="0.45">
      <c r="A51" s="9" t="s">
        <v>101</v>
      </c>
      <c r="B51" s="9">
        <v>24</v>
      </c>
      <c r="C51" s="14" t="s">
        <v>398</v>
      </c>
      <c r="D51" s="9"/>
      <c r="E51" s="9"/>
      <c r="F51" t="str">
        <f t="shared" si="1"/>
        <v>'acc_brs':'Nombre d acceptations par des boursiers',</v>
      </c>
    </row>
    <row r="52" spans="1:6" ht="28.5" x14ac:dyDescent="0.45">
      <c r="A52" s="9" t="s">
        <v>102</v>
      </c>
      <c r="B52" s="9">
        <v>121</v>
      </c>
      <c r="C52" s="14" t="s">
        <v>399</v>
      </c>
      <c r="D52" s="9"/>
      <c r="E52" s="9"/>
      <c r="F52" t="str">
        <f t="shared" si="1"/>
        <v>'acc_neobac':'Nombre d acceptations par des néo-bacheliers',</v>
      </c>
    </row>
    <row r="53" spans="1:6" ht="28.5" x14ac:dyDescent="0.45">
      <c r="A53" s="9" t="s">
        <v>103</v>
      </c>
      <c r="B53" s="9">
        <v>115</v>
      </c>
      <c r="C53" s="14" t="s">
        <v>400</v>
      </c>
      <c r="D53" s="9"/>
      <c r="E53" s="9"/>
      <c r="F53" t="str">
        <f t="shared" si="1"/>
        <v>'acc_bg':'Nombre d acceptations par des bacheliers généraux',</v>
      </c>
    </row>
    <row r="54" spans="1:6" ht="28.5" x14ac:dyDescent="0.45">
      <c r="A54" s="9" t="s">
        <v>104</v>
      </c>
      <c r="B54" s="9">
        <v>6</v>
      </c>
      <c r="C54" s="14" t="s">
        <v>401</v>
      </c>
      <c r="D54" s="9"/>
      <c r="E54" s="9"/>
      <c r="F54" t="str">
        <f t="shared" si="1"/>
        <v>'acc_bt':'Nombre d acceptations par des bacheliers technologiques',</v>
      </c>
    </row>
    <row r="55" spans="1:6" ht="28.5" x14ac:dyDescent="0.45">
      <c r="A55" s="9" t="s">
        <v>105</v>
      </c>
      <c r="B55" s="9">
        <v>0</v>
      </c>
      <c r="C55" s="14" t="s">
        <v>402</v>
      </c>
      <c r="D55" s="9"/>
      <c r="E55" s="9"/>
      <c r="F55" t="str">
        <f t="shared" si="1"/>
        <v>'acc_bp':'Nombre d acceptations par des bacheliers professionnels',</v>
      </c>
    </row>
    <row r="56" spans="1:6" ht="28.5" x14ac:dyDescent="0.45">
      <c r="A56" s="9" t="s">
        <v>106</v>
      </c>
      <c r="B56" s="9">
        <v>16</v>
      </c>
      <c r="C56" s="14" t="s">
        <v>403</v>
      </c>
      <c r="D56" s="9"/>
      <c r="E56" s="9"/>
      <c r="F56" t="str">
        <f t="shared" si="1"/>
        <v>'acc_at':'Nombre d acceptations en apprentissage',</v>
      </c>
    </row>
    <row r="57" spans="1:6" ht="28.5" x14ac:dyDescent="0.45">
      <c r="A57" s="9" t="s">
        <v>107</v>
      </c>
      <c r="B57" s="9">
        <v>0</v>
      </c>
      <c r="C57" s="14" t="s">
        <v>404</v>
      </c>
      <c r="D57" s="9"/>
      <c r="E57" s="9"/>
      <c r="F57" t="str">
        <f t="shared" si="1"/>
        <v>'acc_mention_nonrenseignee':'Nombre d acceptations avec mention non renseignée',</v>
      </c>
    </row>
    <row r="58" spans="1:6" ht="28.5" x14ac:dyDescent="0.45">
      <c r="A58" s="9" t="s">
        <v>108</v>
      </c>
      <c r="B58" s="9">
        <v>7</v>
      </c>
      <c r="C58" s="14" t="s">
        <v>405</v>
      </c>
      <c r="D58" s="9"/>
      <c r="E58" s="9"/>
      <c r="F58" t="str">
        <f t="shared" si="1"/>
        <v>'acc_sansmention':'Nombre d acceptations sans mention',</v>
      </c>
    </row>
    <row r="59" spans="1:6" ht="28.5" x14ac:dyDescent="0.45">
      <c r="A59" s="9" t="s">
        <v>109</v>
      </c>
      <c r="B59" s="9">
        <v>28</v>
      </c>
      <c r="C59" s="14" t="s">
        <v>406</v>
      </c>
      <c r="D59" s="9"/>
      <c r="E59" s="9"/>
      <c r="F59" t="str">
        <f t="shared" si="1"/>
        <v>'acc_ab':'Nombre d acceptations avec mention Assez Bien',</v>
      </c>
    </row>
    <row r="60" spans="1:6" ht="28.5" x14ac:dyDescent="0.45">
      <c r="A60" s="9" t="s">
        <v>110</v>
      </c>
      <c r="B60" s="9">
        <v>56</v>
      </c>
      <c r="C60" s="14" t="s">
        <v>407</v>
      </c>
      <c r="D60" s="9"/>
      <c r="E60" s="9"/>
      <c r="F60" t="str">
        <f t="shared" si="1"/>
        <v>'acc_b':'Nombre d acceptations avec mention Bien',</v>
      </c>
    </row>
    <row r="61" spans="1:6" ht="28.5" x14ac:dyDescent="0.45">
      <c r="A61" s="9" t="s">
        <v>111</v>
      </c>
      <c r="B61" s="9">
        <v>28</v>
      </c>
      <c r="C61" s="14" t="s">
        <v>408</v>
      </c>
      <c r="D61" s="9"/>
      <c r="E61" s="9"/>
      <c r="F61" t="str">
        <f t="shared" si="1"/>
        <v>'acc_tb':'Nombre d acceptations avec mention Très Bien',</v>
      </c>
    </row>
    <row r="62" spans="1:6" ht="42.75" x14ac:dyDescent="0.45">
      <c r="A62" s="9" t="s">
        <v>112</v>
      </c>
      <c r="B62" s="9">
        <v>108</v>
      </c>
      <c r="C62" s="14" t="s">
        <v>409</v>
      </c>
      <c r="D62" s="9"/>
      <c r="E62" s="9"/>
      <c r="F62" t="str">
        <f t="shared" si="1"/>
        <v>'acc_bg_mention':'Nombre d acceptations avec mention parmi les bacheliers généraux',</v>
      </c>
    </row>
    <row r="63" spans="1:6" ht="42.75" x14ac:dyDescent="0.45">
      <c r="A63" s="9" t="s">
        <v>113</v>
      </c>
      <c r="B63" s="9">
        <v>6</v>
      </c>
      <c r="C63" s="14" t="s">
        <v>410</v>
      </c>
      <c r="D63" s="9"/>
      <c r="E63" s="9"/>
      <c r="F63" t="str">
        <f t="shared" si="1"/>
        <v>'acc_bt_mention':'Nombre d acceptations avec mention parmi les bacheliers technologiques',</v>
      </c>
    </row>
    <row r="64" spans="1:6" ht="42.75" x14ac:dyDescent="0.45">
      <c r="A64" s="9" t="s">
        <v>114</v>
      </c>
      <c r="B64" s="9">
        <v>0</v>
      </c>
      <c r="C64" s="14" t="s">
        <v>411</v>
      </c>
      <c r="D64" s="9"/>
      <c r="E64" s="9"/>
      <c r="F64" t="str">
        <f t="shared" si="1"/>
        <v>'acc_bp_mention':'Nombre d acceptations avec mention parmi les bacheliers professionnels',</v>
      </c>
    </row>
    <row r="65" spans="1:6" ht="28.5" x14ac:dyDescent="0.45">
      <c r="A65" s="9" t="s">
        <v>115</v>
      </c>
      <c r="B65" s="9"/>
      <c r="C65" s="14" t="s">
        <v>412</v>
      </c>
      <c r="D65" s="9"/>
      <c r="E65" s="9"/>
      <c r="F65" t="str">
        <f t="shared" si="1"/>
        <v>'acc_term':'Nombre d acceptations parmi les terminales',</v>
      </c>
    </row>
    <row r="66" spans="1:6" ht="28.5" x14ac:dyDescent="0.45">
      <c r="A66" s="9" t="s">
        <v>116</v>
      </c>
      <c r="B66" s="9"/>
      <c r="C66" s="14" t="s">
        <v>413</v>
      </c>
      <c r="D66" s="9"/>
      <c r="E66" s="9"/>
      <c r="F66" t="str">
        <f t="shared" si="1"/>
        <v>'acc_term_f':'Nombre d acceptations parmi les terminales filles',</v>
      </c>
    </row>
    <row r="67" spans="1:6" ht="28.5" x14ac:dyDescent="0.45">
      <c r="A67" s="9" t="s">
        <v>117</v>
      </c>
      <c r="B67" s="9">
        <v>40</v>
      </c>
      <c r="C67" s="14" t="s">
        <v>414</v>
      </c>
      <c r="D67" s="9"/>
      <c r="E67" s="9"/>
      <c r="F67" t="str">
        <f t="shared" si="1"/>
        <v>'acc_aca_orig':'Nombre d acceptations par académie d origine',</v>
      </c>
    </row>
    <row r="68" spans="1:6" ht="42.75" x14ac:dyDescent="0.45">
      <c r="A68" s="9" t="s">
        <v>118</v>
      </c>
      <c r="B68" s="9">
        <v>104</v>
      </c>
      <c r="C68" s="14" t="s">
        <v>415</v>
      </c>
      <c r="D68" s="9"/>
      <c r="E68" s="9"/>
      <c r="F68" t="str">
        <f t="shared" si="1"/>
        <v>'acc_aca_orig_idf':'Nombre d acceptations par académie d origine en Île-de-France',</v>
      </c>
    </row>
    <row r="69" spans="1:6" ht="28.5" x14ac:dyDescent="0.45">
      <c r="A69" s="9" t="s">
        <v>119</v>
      </c>
      <c r="B69" s="9">
        <v>76</v>
      </c>
      <c r="C69" s="14" t="s">
        <v>226</v>
      </c>
      <c r="D69" s="9"/>
      <c r="E69" s="9"/>
      <c r="F69" t="str">
        <f t="shared" si="1"/>
        <v>'pct_f':'Pourcentage de filles parmi les acceptations',</v>
      </c>
    </row>
    <row r="70" spans="1:6" ht="28.5" x14ac:dyDescent="0.45">
      <c r="A70" s="9" t="s">
        <v>120</v>
      </c>
      <c r="B70" s="9">
        <v>33</v>
      </c>
      <c r="C70" s="14" t="s">
        <v>416</v>
      </c>
      <c r="D70" s="9"/>
      <c r="E70" s="9"/>
      <c r="F70" t="str">
        <f t="shared" si="1"/>
        <v>'pct_aca_orig':'Pourcentage d acceptations par académie d origine',</v>
      </c>
    </row>
    <row r="71" spans="1:6" ht="42.75" x14ac:dyDescent="0.45">
      <c r="A71" s="9" t="s">
        <v>121</v>
      </c>
      <c r="B71" s="9">
        <v>86</v>
      </c>
      <c r="C71" s="14" t="s">
        <v>417</v>
      </c>
      <c r="D71" s="9"/>
      <c r="E71" s="9"/>
      <c r="F71" t="str">
        <f t="shared" si="1"/>
        <v>'pct_aca_orig_idf':'Pourcentage d acceptations par académie d origine en Île-de-France',</v>
      </c>
    </row>
    <row r="72" spans="1:6" ht="28.5" x14ac:dyDescent="0.45">
      <c r="A72" s="9" t="s">
        <v>122</v>
      </c>
      <c r="B72" s="9">
        <v>0</v>
      </c>
      <c r="C72" s="14" t="s">
        <v>418</v>
      </c>
      <c r="D72" s="9"/>
      <c r="E72" s="9"/>
      <c r="F72" t="str">
        <f t="shared" si="1"/>
        <v>'pct_etab_orig':'Pourcentage d acceptations par établissement d origine',</v>
      </c>
    </row>
    <row r="73" spans="1:6" ht="28.5" x14ac:dyDescent="0.45">
      <c r="A73" s="9" t="s">
        <v>123</v>
      </c>
      <c r="B73" s="9">
        <v>20</v>
      </c>
      <c r="C73" s="14" t="s">
        <v>419</v>
      </c>
      <c r="D73" s="9"/>
      <c r="E73" s="9"/>
      <c r="F73" t="str">
        <f t="shared" si="1"/>
        <v>'pct_bours':'Pourcentage d acceptations par des boursiers',</v>
      </c>
    </row>
    <row r="74" spans="1:6" ht="28.5" x14ac:dyDescent="0.45">
      <c r="A74" s="9" t="s">
        <v>124</v>
      </c>
      <c r="B74" s="9">
        <v>88</v>
      </c>
      <c r="C74" s="14" t="s">
        <v>420</v>
      </c>
      <c r="D74" s="9"/>
      <c r="E74" s="9"/>
      <c r="F74" t="str">
        <f t="shared" si="1"/>
        <v>'pct_neobac':'Pourcentage d acceptations par des néo-bacheliers',</v>
      </c>
    </row>
    <row r="75" spans="1:6" ht="28.5" x14ac:dyDescent="0.45">
      <c r="A75" s="9" t="s">
        <v>125</v>
      </c>
      <c r="B75" s="9">
        <v>0</v>
      </c>
      <c r="C75" s="14" t="s">
        <v>421</v>
      </c>
      <c r="D75" s="9"/>
      <c r="E75" s="9"/>
      <c r="F75" t="str">
        <f t="shared" si="1"/>
        <v>'pct_mention_nonrenseignee':'Pourcentage d acceptations avec mention non renseignée',</v>
      </c>
    </row>
    <row r="76" spans="1:6" ht="28.5" x14ac:dyDescent="0.45">
      <c r="A76" s="9" t="s">
        <v>126</v>
      </c>
      <c r="B76" s="9">
        <v>6</v>
      </c>
      <c r="C76" s="14" t="s">
        <v>422</v>
      </c>
      <c r="D76" s="9"/>
      <c r="E76" s="9"/>
      <c r="F76" t="str">
        <f t="shared" si="1"/>
        <v>'pct_sansmention':'Pourcentage d acceptations sans mention',</v>
      </c>
    </row>
    <row r="77" spans="1:6" ht="28.5" x14ac:dyDescent="0.45">
      <c r="A77" s="9" t="s">
        <v>127</v>
      </c>
      <c r="B77" s="9">
        <v>23</v>
      </c>
      <c r="C77" s="14" t="s">
        <v>423</v>
      </c>
      <c r="D77" s="9"/>
      <c r="E77" s="9"/>
      <c r="F77" t="str">
        <f t="shared" si="1"/>
        <v>'pct_ab':'Pourcentage d acceptations avec mention Assez Bien',</v>
      </c>
    </row>
    <row r="78" spans="1:6" ht="28.5" x14ac:dyDescent="0.45">
      <c r="A78" s="9" t="s">
        <v>128</v>
      </c>
      <c r="B78" s="9">
        <v>46</v>
      </c>
      <c r="C78" s="14" t="s">
        <v>424</v>
      </c>
      <c r="D78" s="9"/>
      <c r="E78" s="9"/>
      <c r="F78" t="str">
        <f t="shared" si="1"/>
        <v>'pct_b':'Pourcentage d acceptations avec mention Bien',</v>
      </c>
    </row>
    <row r="79" spans="1:6" ht="28.5" x14ac:dyDescent="0.45">
      <c r="A79" s="9" t="s">
        <v>129</v>
      </c>
      <c r="B79" s="9">
        <v>23</v>
      </c>
      <c r="C79" s="14" t="s">
        <v>425</v>
      </c>
      <c r="D79" s="9"/>
      <c r="E79" s="9"/>
      <c r="F79" t="str">
        <f t="shared" si="1"/>
        <v>'pct_tb':'Pourcentage d acceptations avec mention Très Bien',</v>
      </c>
    </row>
    <row r="80" spans="1:6" ht="28.5" x14ac:dyDescent="0.45">
      <c r="A80" s="9" t="s">
        <v>130</v>
      </c>
      <c r="B80" s="9">
        <v>95</v>
      </c>
      <c r="C80" s="14" t="s">
        <v>426</v>
      </c>
      <c r="D80" s="9"/>
      <c r="E80" s="9"/>
      <c r="F80" t="str">
        <f t="shared" ref="F80:F123" si="2">"'"&amp;A80&amp;"':"&amp;"'"&amp;C80&amp;"',"</f>
        <v>'pct_bg':'Pourcentage d acceptations parmi les bacheliers généraux',</v>
      </c>
    </row>
    <row r="81" spans="1:6" ht="42.75" x14ac:dyDescent="0.45">
      <c r="A81" s="9" t="s">
        <v>131</v>
      </c>
      <c r="B81" s="9">
        <v>89</v>
      </c>
      <c r="C81" s="14" t="s">
        <v>427</v>
      </c>
      <c r="D81" s="9"/>
      <c r="E81" s="9"/>
      <c r="F81" t="str">
        <f t="shared" si="2"/>
        <v>'pct_bg_mention':'Pourcentage d acceptations avec mention parmi les bacheliers généraux',</v>
      </c>
    </row>
    <row r="82" spans="1:6" ht="28.5" x14ac:dyDescent="0.45">
      <c r="A82" s="9" t="s">
        <v>132</v>
      </c>
      <c r="B82" s="9">
        <v>5</v>
      </c>
      <c r="C82" s="14" t="s">
        <v>428</v>
      </c>
      <c r="D82" s="9"/>
      <c r="E82" s="9"/>
      <c r="F82" t="str">
        <f t="shared" si="2"/>
        <v>'pct_bt':'Pourcentage d acceptations parmi les bacheliers technologiques',</v>
      </c>
    </row>
    <row r="83" spans="1:6" ht="42.75" x14ac:dyDescent="0.45">
      <c r="A83" s="9" t="s">
        <v>133</v>
      </c>
      <c r="B83" s="9">
        <v>5</v>
      </c>
      <c r="C83" s="14" t="s">
        <v>429</v>
      </c>
      <c r="D83" s="9"/>
      <c r="E83" s="9"/>
      <c r="F83" t="str">
        <f t="shared" si="2"/>
        <v>'pct_bt_mention':'Pourcentage d acceptations avec mention parmi les bacheliers technologiques',</v>
      </c>
    </row>
    <row r="84" spans="1:6" ht="28.5" x14ac:dyDescent="0.45">
      <c r="A84" s="9" t="s">
        <v>134</v>
      </c>
      <c r="B84" s="9">
        <v>0</v>
      </c>
      <c r="C84" s="14" t="s">
        <v>430</v>
      </c>
      <c r="D84" s="9"/>
      <c r="E84" s="9"/>
      <c r="F84" t="str">
        <f t="shared" si="2"/>
        <v>'pct_bp':'Pourcentage d acceptations parmi les bacheliers professionnels',</v>
      </c>
    </row>
    <row r="85" spans="1:6" ht="42.75" x14ac:dyDescent="0.45">
      <c r="A85" s="9" t="s">
        <v>135</v>
      </c>
      <c r="B85" s="9">
        <v>0</v>
      </c>
      <c r="C85" s="14" t="s">
        <v>431</v>
      </c>
      <c r="D85" s="9"/>
      <c r="E85" s="9"/>
      <c r="F85" t="str">
        <f t="shared" si="2"/>
        <v>'pct_bp_mention':'Pourcentage d acceptations avec mention parmi les bacheliers professionnels',</v>
      </c>
    </row>
    <row r="86" spans="1:6" x14ac:dyDescent="0.45">
      <c r="A86" s="9" t="s">
        <v>136</v>
      </c>
      <c r="B86" s="9" t="s">
        <v>178</v>
      </c>
      <c r="C86" s="14" t="s">
        <v>227</v>
      </c>
      <c r="D86" s="9"/>
      <c r="E86" s="9"/>
      <c r="F86" t="str">
        <f t="shared" si="2"/>
        <v>'tri':'Tri des données',</v>
      </c>
    </row>
    <row r="87" spans="1:6" x14ac:dyDescent="0.45">
      <c r="A87" s="9" t="s">
        <v>137</v>
      </c>
      <c r="B87" s="9" t="s">
        <v>192</v>
      </c>
      <c r="C87" s="14" t="s">
        <v>48</v>
      </c>
      <c r="D87" s="9"/>
      <c r="E87" s="9"/>
      <c r="F87" t="str">
        <f t="shared" si="2"/>
        <v>'contrat_etab':'Type d établissement',</v>
      </c>
    </row>
    <row r="88" spans="1:6" ht="28.5" x14ac:dyDescent="0.45">
      <c r="A88" s="9" t="s">
        <v>138</v>
      </c>
      <c r="B88" s="9">
        <v>1</v>
      </c>
      <c r="C88" s="14" t="s">
        <v>432</v>
      </c>
      <c r="D88" s="9"/>
      <c r="E88" s="9"/>
      <c r="F88" t="str">
        <f t="shared" si="2"/>
        <v>'acc_debutpp':'Nombre d acceptations en début de phase principale',</v>
      </c>
    </row>
    <row r="89" spans="1:6" ht="28.5" x14ac:dyDescent="0.45">
      <c r="A89" s="9" t="s">
        <v>139</v>
      </c>
      <c r="B89" s="9">
        <v>38</v>
      </c>
      <c r="C89" s="14" t="s">
        <v>433</v>
      </c>
      <c r="D89" s="9"/>
      <c r="E89" s="9"/>
      <c r="F89" t="str">
        <f t="shared" si="2"/>
        <v>'acc_datebac':'Nombre d acceptations à la date du bac',</v>
      </c>
    </row>
    <row r="90" spans="1:6" ht="28.5" x14ac:dyDescent="0.45">
      <c r="A90" s="9" t="s">
        <v>140</v>
      </c>
      <c r="B90" s="9">
        <v>116</v>
      </c>
      <c r="C90" s="14" t="s">
        <v>434</v>
      </c>
      <c r="D90" s="9"/>
      <c r="E90" s="9"/>
      <c r="F90" t="str">
        <f t="shared" si="2"/>
        <v>'acc_finpp':'Nombre d acceptations en fin de phase principale',</v>
      </c>
    </row>
    <row r="91" spans="1:6" ht="28.5" x14ac:dyDescent="0.45">
      <c r="A91" s="9" t="s">
        <v>141</v>
      </c>
      <c r="B91" s="9">
        <v>1</v>
      </c>
      <c r="C91" s="14" t="s">
        <v>435</v>
      </c>
      <c r="D91" s="9"/>
      <c r="E91" s="9"/>
      <c r="F91" t="str">
        <f t="shared" si="2"/>
        <v>'pct_acc_debutpp':'Pourcentage d acceptations en début de phase principale',</v>
      </c>
    </row>
    <row r="92" spans="1:6" ht="28.5" x14ac:dyDescent="0.45">
      <c r="A92" s="9" t="s">
        <v>142</v>
      </c>
      <c r="B92" s="9">
        <v>28</v>
      </c>
      <c r="C92" s="14" t="s">
        <v>436</v>
      </c>
      <c r="D92" s="9"/>
      <c r="E92" s="9"/>
      <c r="F92" t="str">
        <f t="shared" si="2"/>
        <v>'pct_acc_datebac':'Pourcentage d acceptations à la date du bac',</v>
      </c>
    </row>
    <row r="93" spans="1:6" ht="28.5" x14ac:dyDescent="0.45">
      <c r="A93" s="9" t="s">
        <v>143</v>
      </c>
      <c r="B93" s="9">
        <v>85</v>
      </c>
      <c r="C93" s="14" t="s">
        <v>437</v>
      </c>
      <c r="D93" s="9"/>
      <c r="E93" s="9"/>
      <c r="F93" t="str">
        <f t="shared" si="2"/>
        <v>'pct_acc_finpp':'Pourcentage d acceptations en fin de phase principale',</v>
      </c>
    </row>
    <row r="94" spans="1:6" x14ac:dyDescent="0.45">
      <c r="A94" s="9" t="s">
        <v>144</v>
      </c>
      <c r="B94" s="9" t="s">
        <v>193</v>
      </c>
      <c r="C94" s="14" t="s">
        <v>228</v>
      </c>
      <c r="D94" s="9"/>
      <c r="E94" s="9"/>
      <c r="F94" t="str">
        <f t="shared" si="2"/>
        <v>'select_form':'Sélectivité de la formation',</v>
      </c>
    </row>
    <row r="95" spans="1:6" x14ac:dyDescent="0.45">
      <c r="A95" s="9" t="s">
        <v>145</v>
      </c>
      <c r="B95" s="9" t="s">
        <v>194</v>
      </c>
      <c r="C95" s="14" t="s">
        <v>205</v>
      </c>
      <c r="D95" s="9"/>
      <c r="E95" s="9"/>
      <c r="F95" t="str">
        <f t="shared" si="2"/>
        <v>'lib_comp_voe_ins':'Filière de formation détaillée',</v>
      </c>
    </row>
    <row r="96" spans="1:6" ht="28.5" x14ac:dyDescent="0.45">
      <c r="A96" s="9" t="s">
        <v>146</v>
      </c>
      <c r="B96" s="9">
        <v>1242</v>
      </c>
      <c r="C96" s="14" t="s">
        <v>229</v>
      </c>
      <c r="D96" s="9"/>
      <c r="E96" s="9"/>
      <c r="F96" t="str">
        <f t="shared" si="2"/>
        <v>'prop_tot_bg':'Proportion totale de propositions pour les bacheliers généraux',</v>
      </c>
    </row>
    <row r="97" spans="1:6" ht="42.75" x14ac:dyDescent="0.45">
      <c r="A97" s="9" t="s">
        <v>147</v>
      </c>
      <c r="B97" s="9">
        <v>213</v>
      </c>
      <c r="C97" s="14" t="s">
        <v>230</v>
      </c>
      <c r="D97" s="9"/>
      <c r="E97" s="9"/>
      <c r="F97" t="str">
        <f t="shared" si="2"/>
        <v>'prop_tot_bg_brs':'Proportion totale de propositions pour les bacheliers généraux boursiers',</v>
      </c>
    </row>
    <row r="98" spans="1:6" ht="42.75" x14ac:dyDescent="0.45">
      <c r="A98" s="9" t="s">
        <v>148</v>
      </c>
      <c r="B98" s="9">
        <v>20</v>
      </c>
      <c r="C98" s="14" t="s">
        <v>231</v>
      </c>
      <c r="D98" s="9"/>
      <c r="E98" s="9"/>
      <c r="F98" t="str">
        <f t="shared" si="2"/>
        <v>'prop_tot_bt':'Proportion totale de propositions pour les bacheliers technologiques',</v>
      </c>
    </row>
    <row r="99" spans="1:6" ht="42.75" x14ac:dyDescent="0.45">
      <c r="A99" s="9" t="s">
        <v>149</v>
      </c>
      <c r="B99" s="9">
        <v>11</v>
      </c>
      <c r="C99" s="14" t="s">
        <v>232</v>
      </c>
      <c r="D99" s="9"/>
      <c r="E99" s="9"/>
      <c r="F99" t="str">
        <f t="shared" si="2"/>
        <v>'prop_tot_bt_brs':'Proportion totale de propositions pour les bacheliers technologiques boursiers',</v>
      </c>
    </row>
    <row r="100" spans="1:6" ht="28.5" x14ac:dyDescent="0.45">
      <c r="A100" s="9" t="s">
        <v>150</v>
      </c>
      <c r="B100" s="9">
        <v>0</v>
      </c>
      <c r="C100" s="14" t="s">
        <v>233</v>
      </c>
      <c r="D100" s="9"/>
      <c r="E100" s="9"/>
      <c r="F100" t="str">
        <f t="shared" si="2"/>
        <v>'prop_tot_bp':'Proportion totale de propositions pour les bacheliers professionnels',</v>
      </c>
    </row>
    <row r="101" spans="1:6" ht="42.75" x14ac:dyDescent="0.45">
      <c r="A101" s="9" t="s">
        <v>151</v>
      </c>
      <c r="B101" s="9">
        <v>0</v>
      </c>
      <c r="C101" s="14" t="s">
        <v>234</v>
      </c>
      <c r="D101" s="9"/>
      <c r="E101" s="9"/>
      <c r="F101" t="str">
        <f t="shared" si="2"/>
        <v>'prop_tot_bp_brs':'Proportion totale de propositions pour les bacheliers professionnels boursiers',</v>
      </c>
    </row>
    <row r="102" spans="1:6" ht="28.5" x14ac:dyDescent="0.45">
      <c r="A102" s="9" t="s">
        <v>152</v>
      </c>
      <c r="B102" s="9">
        <v>138</v>
      </c>
      <c r="C102" s="14" t="s">
        <v>438</v>
      </c>
      <c r="D102" s="9"/>
      <c r="E102" s="9"/>
      <c r="F102" t="str">
        <f t="shared" si="2"/>
        <v>'prop_tot_at':'Proportion totale de propositions pour l apprentissage',</v>
      </c>
    </row>
    <row r="103" spans="1:6" x14ac:dyDescent="0.45">
      <c r="A103" s="9" t="s">
        <v>153</v>
      </c>
      <c r="B103" s="9" t="s">
        <v>195</v>
      </c>
      <c r="C103" s="14" t="s">
        <v>250</v>
      </c>
      <c r="D103" s="9"/>
      <c r="E103" s="9"/>
      <c r="F103" t="str">
        <f t="shared" si="2"/>
        <v>'lib_grp1':'Libellé du groupe 1 ',</v>
      </c>
    </row>
    <row r="104" spans="1:6" ht="28.5" x14ac:dyDescent="0.45">
      <c r="A104" s="9" t="s">
        <v>154</v>
      </c>
      <c r="B104" s="9" t="s">
        <v>196</v>
      </c>
      <c r="C104" s="14" t="s">
        <v>235</v>
      </c>
      <c r="D104" s="9"/>
      <c r="E104" s="9"/>
      <c r="F104" t="str">
        <f t="shared" si="2"/>
        <v>'ran_grp1':'Rang du dernier candidat appelé dans le groupe 1',</v>
      </c>
    </row>
    <row r="105" spans="1:6" x14ac:dyDescent="0.45">
      <c r="A105" s="9" t="s">
        <v>155</v>
      </c>
      <c r="B105" s="9"/>
      <c r="C105" s="14" t="s">
        <v>236</v>
      </c>
      <c r="D105" s="9"/>
      <c r="E105" s="9"/>
      <c r="F105" t="str">
        <f t="shared" si="2"/>
        <v>'lib_grp2':'Libellé du groupe 2',</v>
      </c>
    </row>
    <row r="106" spans="1:6" ht="28.5" x14ac:dyDescent="0.45">
      <c r="A106" s="9" t="s">
        <v>156</v>
      </c>
      <c r="B106" s="9"/>
      <c r="C106" s="14" t="s">
        <v>237</v>
      </c>
      <c r="D106" s="9"/>
      <c r="E106" s="9"/>
      <c r="F106" t="str">
        <f t="shared" si="2"/>
        <v>'ran_grp2':'Rang du dernier candidat appelé dans le groupe 2',</v>
      </c>
    </row>
    <row r="107" spans="1:6" x14ac:dyDescent="0.45">
      <c r="A107" s="9" t="s">
        <v>157</v>
      </c>
      <c r="B107" s="9"/>
      <c r="C107" s="14" t="s">
        <v>238</v>
      </c>
      <c r="D107" s="9"/>
      <c r="E107" s="9"/>
      <c r="F107" t="str">
        <f t="shared" si="2"/>
        <v>'lib_grp3':'Libellé du groupe 3',</v>
      </c>
    </row>
    <row r="108" spans="1:6" ht="28.5" x14ac:dyDescent="0.45">
      <c r="A108" s="9" t="s">
        <v>158</v>
      </c>
      <c r="B108" s="9"/>
      <c r="C108" s="14" t="s">
        <v>239</v>
      </c>
      <c r="D108" s="9"/>
      <c r="E108" s="9"/>
      <c r="F108" t="str">
        <f t="shared" si="2"/>
        <v>'ran_grp3':'Rang du dernier candidat appelé dans le groupe 3',</v>
      </c>
    </row>
    <row r="109" spans="1:6" x14ac:dyDescent="0.45">
      <c r="A109" s="9" t="s">
        <v>159</v>
      </c>
      <c r="B109" s="9"/>
      <c r="C109" s="14" t="s">
        <v>240</v>
      </c>
      <c r="D109" s="9"/>
      <c r="E109" s="9"/>
      <c r="F109" t="str">
        <f t="shared" si="2"/>
        <v>'lib_grp4':'Libellé du groupe 4',</v>
      </c>
    </row>
    <row r="110" spans="1:6" ht="28.5" x14ac:dyDescent="0.45">
      <c r="A110" s="9" t="s">
        <v>160</v>
      </c>
      <c r="B110" s="9"/>
      <c r="C110" s="14" t="s">
        <v>241</v>
      </c>
      <c r="D110" s="9"/>
      <c r="E110" s="9"/>
      <c r="F110" t="str">
        <f t="shared" si="2"/>
        <v>'ran_grp4':'Rang du dernier candidat appelé dans le groupe 4',</v>
      </c>
    </row>
    <row r="111" spans="1:6" x14ac:dyDescent="0.45">
      <c r="A111" s="9" t="s">
        <v>161</v>
      </c>
      <c r="B111" s="9"/>
      <c r="C111" s="14" t="s">
        <v>242</v>
      </c>
      <c r="D111" s="9"/>
      <c r="E111" s="9"/>
      <c r="F111" t="str">
        <f t="shared" si="2"/>
        <v>'lib_grp5':'Libellé du groupe 5',</v>
      </c>
    </row>
    <row r="112" spans="1:6" ht="28.5" x14ac:dyDescent="0.45">
      <c r="A112" s="9" t="s">
        <v>162</v>
      </c>
      <c r="B112" s="9"/>
      <c r="C112" s="14" t="s">
        <v>243</v>
      </c>
      <c r="D112" s="9"/>
      <c r="E112" s="9"/>
      <c r="F112" t="str">
        <f t="shared" si="2"/>
        <v>'ran_grp5':'Rang du dernier candidat appelé dans le groupe 5',</v>
      </c>
    </row>
    <row r="113" spans="1:6" x14ac:dyDescent="0.45">
      <c r="A113" s="9" t="s">
        <v>163</v>
      </c>
      <c r="B113" s="9"/>
      <c r="C113" s="14" t="s">
        <v>439</v>
      </c>
      <c r="D113" s="9"/>
      <c r="E113" s="9"/>
      <c r="F113" t="str">
        <f t="shared" si="2"/>
        <v>'taux_adm_psup':'Taux d admission sur Parcoursup',</v>
      </c>
    </row>
    <row r="114" spans="1:6" ht="42.75" x14ac:dyDescent="0.45">
      <c r="A114" s="9" t="s">
        <v>164</v>
      </c>
      <c r="B114" s="9"/>
      <c r="C114" s="14" t="s">
        <v>440</v>
      </c>
      <c r="D114" s="9"/>
      <c r="E114" s="9"/>
      <c r="F114" t="str">
        <f t="shared" si="2"/>
        <v>'taux_adm_psup_pro':'Taux d admission sur Parcoursup pour les formations professionnelles',</v>
      </c>
    </row>
    <row r="115" spans="1:6" ht="28.5" x14ac:dyDescent="0.45">
      <c r="A115" s="9" t="s">
        <v>165</v>
      </c>
      <c r="B115" s="9"/>
      <c r="C115" s="14" t="s">
        <v>441</v>
      </c>
      <c r="D115" s="9"/>
      <c r="E115" s="9"/>
      <c r="F115" t="str">
        <f t="shared" si="2"/>
        <v>'taux_adm_psup_gen':'Taux d admission sur Parcoursup pour les formations générales',</v>
      </c>
    </row>
    <row r="116" spans="1:6" ht="42.75" x14ac:dyDescent="0.45">
      <c r="A116" s="9" t="s">
        <v>166</v>
      </c>
      <c r="B116" s="9"/>
      <c r="C116" s="14" t="s">
        <v>442</v>
      </c>
      <c r="D116" s="9"/>
      <c r="E116" s="9"/>
      <c r="F116" t="str">
        <f t="shared" si="2"/>
        <v>'taux_adm_psup_techno':'Taux d admission sur Parcoursup pour les formations technologiques',</v>
      </c>
    </row>
    <row r="117" spans="1:6" x14ac:dyDescent="0.45">
      <c r="A117" s="9" t="s">
        <v>167</v>
      </c>
      <c r="B117" s="9" t="s">
        <v>197</v>
      </c>
      <c r="C117" s="14" t="s">
        <v>244</v>
      </c>
      <c r="D117" s="9"/>
      <c r="E117" s="9"/>
      <c r="F117" t="str">
        <f t="shared" si="2"/>
        <v>'cod_aff_form':'Code affectation de la formation',</v>
      </c>
    </row>
    <row r="118" spans="1:6" x14ac:dyDescent="0.45">
      <c r="A118" s="9" t="s">
        <v>168</v>
      </c>
      <c r="B118" s="9" t="s">
        <v>198</v>
      </c>
      <c r="C118" s="14" t="s">
        <v>34</v>
      </c>
      <c r="D118" s="9"/>
      <c r="E118" s="9"/>
      <c r="F118" t="str">
        <f t="shared" si="2"/>
        <v>'ville_etab':'Commune',</v>
      </c>
    </row>
    <row r="119" spans="1:6" ht="28.5" x14ac:dyDescent="0.45">
      <c r="A119" s="9" t="s">
        <v>169</v>
      </c>
      <c r="B119" s="9" t="s">
        <v>199</v>
      </c>
      <c r="C119" s="14" t="s">
        <v>443</v>
      </c>
      <c r="D119" s="9"/>
      <c r="E119" s="9"/>
      <c r="F119" t="str">
        <f t="shared" si="2"/>
        <v>'lib_for_voe_ins':'Libellé de la formation pour les vœux d inscription',</v>
      </c>
    </row>
    <row r="120" spans="1:6" ht="28.5" x14ac:dyDescent="0.45">
      <c r="A120" s="9" t="s">
        <v>170</v>
      </c>
      <c r="B120" s="9"/>
      <c r="C120" s="14" t="s">
        <v>245</v>
      </c>
      <c r="D120" s="9"/>
      <c r="E120" s="9"/>
      <c r="F120" t="str">
        <f t="shared" si="2"/>
        <v>'detail_forma2':'Détails supplémentaires sur la formation',</v>
      </c>
    </row>
    <row r="121" spans="1:6" ht="42.75" x14ac:dyDescent="0.45">
      <c r="A121" s="9" t="s">
        <v>171</v>
      </c>
      <c r="B121" s="9">
        <v>2</v>
      </c>
      <c r="C121" s="14" t="s">
        <v>444</v>
      </c>
      <c r="D121" s="9"/>
      <c r="E121" s="9"/>
      <c r="F121" t="str">
        <f t="shared" si="2"/>
        <v>'acc_tbf':'Nombre d acceptations avec mention Très Bien avec Félicitations',</v>
      </c>
    </row>
    <row r="122" spans="1:6" ht="42.75" x14ac:dyDescent="0.45">
      <c r="A122" s="9" t="s">
        <v>172</v>
      </c>
      <c r="B122" s="9">
        <v>2</v>
      </c>
      <c r="C122" s="14" t="s">
        <v>445</v>
      </c>
      <c r="D122" s="9"/>
      <c r="E122" s="9"/>
      <c r="F122" t="str">
        <f t="shared" si="2"/>
        <v>'pct_tbf':'Pourcentage d acceptations avec mention Très Bien avec Félicitations',</v>
      </c>
    </row>
    <row r="123" spans="1:6" ht="65.349999999999994" customHeight="1" x14ac:dyDescent="0.45">
      <c r="A123" s="9" t="s">
        <v>173</v>
      </c>
      <c r="B123" s="9" t="s">
        <v>200</v>
      </c>
      <c r="C123" s="14" t="s">
        <v>446</v>
      </c>
      <c r="D123" s="3" t="s">
        <v>252</v>
      </c>
      <c r="E123" s="3"/>
      <c r="F123" t="str">
        <f t="shared" si="2"/>
        <v>'list_com':'Liste d appel',</v>
      </c>
    </row>
    <row r="124" spans="1:6" ht="42.75" hidden="1" x14ac:dyDescent="0.45">
      <c r="A124" s="9" t="s">
        <v>21</v>
      </c>
      <c r="B124" s="9"/>
      <c r="C124" s="14" t="s">
        <v>246</v>
      </c>
      <c r="D124" s="14" t="s">
        <v>246</v>
      </c>
      <c r="E124" s="14" t="s">
        <v>255</v>
      </c>
    </row>
    <row r="125" spans="1:6" ht="42.75" hidden="1" x14ac:dyDescent="0.45">
      <c r="A125" s="9" t="s">
        <v>22</v>
      </c>
      <c r="B125" s="9"/>
      <c r="C125" s="14" t="s">
        <v>247</v>
      </c>
      <c r="D125" s="14" t="s">
        <v>247</v>
      </c>
      <c r="E125" s="14" t="s">
        <v>255</v>
      </c>
    </row>
    <row r="126" spans="1:6" ht="28.5" x14ac:dyDescent="0.45">
      <c r="A126" s="9" t="s">
        <v>174</v>
      </c>
      <c r="B126" s="9" t="s">
        <v>201</v>
      </c>
      <c r="C126" s="14" t="s">
        <v>447</v>
      </c>
      <c r="D126" s="9"/>
      <c r="E126" s="9"/>
      <c r="F126" t="str">
        <f t="shared" ref="F126:F129" si="3">"'"&amp;A126&amp;"':"&amp;"'"&amp;C126&amp;"',"</f>
        <v>'taux_acces_ens':'Taux d accès à l enseignement supérieur',</v>
      </c>
    </row>
    <row r="127" spans="1:6" ht="28.5" x14ac:dyDescent="0.45">
      <c r="A127" s="9" t="s">
        <v>175</v>
      </c>
      <c r="B127" s="9" t="s">
        <v>202</v>
      </c>
      <c r="C127" s="14" t="s">
        <v>448</v>
      </c>
      <c r="D127" s="9"/>
      <c r="E127" s="9"/>
      <c r="F127" t="str">
        <f t="shared" si="3"/>
        <v>'part_acces_gen':'Part d accès pour les bacheliers généraux',</v>
      </c>
    </row>
    <row r="128" spans="1:6" ht="28.5" x14ac:dyDescent="0.45">
      <c r="A128" s="9" t="s">
        <v>176</v>
      </c>
      <c r="B128" s="9" t="s">
        <v>203</v>
      </c>
      <c r="C128" s="14" t="s">
        <v>449</v>
      </c>
      <c r="D128" s="9"/>
      <c r="E128" s="9"/>
      <c r="F128" t="str">
        <f t="shared" si="3"/>
        <v>'part_acces_tec':'Part d accès pour les bacheliers technologiques',</v>
      </c>
    </row>
    <row r="129" spans="1:6" ht="28.5" x14ac:dyDescent="0.45">
      <c r="A129" s="9" t="s">
        <v>177</v>
      </c>
      <c r="B129" s="9" t="s">
        <v>204</v>
      </c>
      <c r="C129" s="14" t="s">
        <v>450</v>
      </c>
      <c r="D129" s="9"/>
      <c r="E129" s="9"/>
      <c r="F129" t="str">
        <f t="shared" si="3"/>
        <v>'part_acces_pro':'Part d accès pour les bacheliers professionnels',</v>
      </c>
    </row>
    <row r="130" spans="1:6" x14ac:dyDescent="0.45">
      <c r="C130" s="14"/>
    </row>
  </sheetData>
  <autoFilter ref="A1:E129" xr:uid="{B5E927B7-B969-4A6A-BE8A-48EAA86AC440}">
    <filterColumn colId="4">
      <filters blank="1">
        <filter val="A rapatrier dans table dimension etablissements"/>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97E73-6C8B-4D46-9E41-2699E709D86B}">
  <dimension ref="A1:A120"/>
  <sheetViews>
    <sheetView topLeftCell="A90" workbookViewId="0">
      <selection sqref="A1:A120"/>
    </sheetView>
  </sheetViews>
  <sheetFormatPr baseColWidth="10" defaultRowHeight="14.25" x14ac:dyDescent="0.45"/>
  <sheetData>
    <row r="1" spans="1:1" x14ac:dyDescent="0.45">
      <c r="A1" t="s">
        <v>257</v>
      </c>
    </row>
    <row r="2" spans="1:1" x14ac:dyDescent="0.45">
      <c r="A2" t="s">
        <v>258</v>
      </c>
    </row>
    <row r="3" spans="1:1" x14ac:dyDescent="0.45">
      <c r="A3" t="s">
        <v>259</v>
      </c>
    </row>
    <row r="4" spans="1:1" x14ac:dyDescent="0.45">
      <c r="A4" t="s">
        <v>260</v>
      </c>
    </row>
    <row r="5" spans="1:1" x14ac:dyDescent="0.45">
      <c r="A5" t="s">
        <v>261</v>
      </c>
    </row>
    <row r="6" spans="1:1" x14ac:dyDescent="0.45">
      <c r="A6" t="s">
        <v>262</v>
      </c>
    </row>
    <row r="7" spans="1:1" x14ac:dyDescent="0.45">
      <c r="A7" t="s">
        <v>263</v>
      </c>
    </row>
    <row r="8" spans="1:1" x14ac:dyDescent="0.45">
      <c r="A8" t="s">
        <v>264</v>
      </c>
    </row>
    <row r="9" spans="1:1" x14ac:dyDescent="0.45">
      <c r="A9" t="s">
        <v>265</v>
      </c>
    </row>
    <row r="10" spans="1:1" x14ac:dyDescent="0.45">
      <c r="A10" t="s">
        <v>266</v>
      </c>
    </row>
    <row r="11" spans="1:1" x14ac:dyDescent="0.45">
      <c r="A11" t="s">
        <v>267</v>
      </c>
    </row>
    <row r="12" spans="1:1" x14ac:dyDescent="0.45">
      <c r="A12" t="s">
        <v>268</v>
      </c>
    </row>
    <row r="13" spans="1:1" x14ac:dyDescent="0.45">
      <c r="A13" t="s">
        <v>269</v>
      </c>
    </row>
    <row r="14" spans="1:1" x14ac:dyDescent="0.45">
      <c r="A14" t="s">
        <v>270</v>
      </c>
    </row>
    <row r="15" spans="1:1" x14ac:dyDescent="0.45">
      <c r="A15" t="s">
        <v>271</v>
      </c>
    </row>
    <row r="16" spans="1:1" x14ac:dyDescent="0.45">
      <c r="A16" t="s">
        <v>272</v>
      </c>
    </row>
    <row r="17" spans="1:1" x14ac:dyDescent="0.45">
      <c r="A17" t="s">
        <v>273</v>
      </c>
    </row>
    <row r="18" spans="1:1" x14ac:dyDescent="0.45">
      <c r="A18" t="s">
        <v>274</v>
      </c>
    </row>
    <row r="19" spans="1:1" x14ac:dyDescent="0.45">
      <c r="A19" t="s">
        <v>275</v>
      </c>
    </row>
    <row r="20" spans="1:1" x14ac:dyDescent="0.45">
      <c r="A20" t="s">
        <v>276</v>
      </c>
    </row>
    <row r="21" spans="1:1" x14ac:dyDescent="0.45">
      <c r="A21" t="s">
        <v>277</v>
      </c>
    </row>
    <row r="22" spans="1:1" x14ac:dyDescent="0.45">
      <c r="A22" t="s">
        <v>278</v>
      </c>
    </row>
    <row r="23" spans="1:1" x14ac:dyDescent="0.45">
      <c r="A23" t="s">
        <v>279</v>
      </c>
    </row>
    <row r="24" spans="1:1" x14ac:dyDescent="0.45">
      <c r="A24" t="s">
        <v>280</v>
      </c>
    </row>
    <row r="25" spans="1:1" x14ac:dyDescent="0.45">
      <c r="A25" t="s">
        <v>281</v>
      </c>
    </row>
    <row r="26" spans="1:1" x14ac:dyDescent="0.45">
      <c r="A26" t="s">
        <v>282</v>
      </c>
    </row>
    <row r="27" spans="1:1" x14ac:dyDescent="0.45">
      <c r="A27" t="s">
        <v>283</v>
      </c>
    </row>
    <row r="28" spans="1:1" x14ac:dyDescent="0.45">
      <c r="A28" t="s">
        <v>284</v>
      </c>
    </row>
    <row r="29" spans="1:1" x14ac:dyDescent="0.45">
      <c r="A29" t="s">
        <v>285</v>
      </c>
    </row>
    <row r="30" spans="1:1" x14ac:dyDescent="0.45">
      <c r="A30" t="s">
        <v>286</v>
      </c>
    </row>
    <row r="31" spans="1:1" x14ac:dyDescent="0.45">
      <c r="A31" t="s">
        <v>287</v>
      </c>
    </row>
    <row r="32" spans="1:1" x14ac:dyDescent="0.45">
      <c r="A32" t="s">
        <v>288</v>
      </c>
    </row>
    <row r="33" spans="1:1" x14ac:dyDescent="0.45">
      <c r="A33" t="s">
        <v>289</v>
      </c>
    </row>
    <row r="34" spans="1:1" x14ac:dyDescent="0.45">
      <c r="A34" t="s">
        <v>290</v>
      </c>
    </row>
    <row r="35" spans="1:1" x14ac:dyDescent="0.45">
      <c r="A35" t="s">
        <v>291</v>
      </c>
    </row>
    <row r="36" spans="1:1" x14ac:dyDescent="0.45">
      <c r="A36" t="s">
        <v>292</v>
      </c>
    </row>
    <row r="37" spans="1:1" x14ac:dyDescent="0.45">
      <c r="A37" t="s">
        <v>293</v>
      </c>
    </row>
    <row r="38" spans="1:1" x14ac:dyDescent="0.45">
      <c r="A38" t="s">
        <v>294</v>
      </c>
    </row>
    <row r="39" spans="1:1" x14ac:dyDescent="0.45">
      <c r="A39" t="s">
        <v>295</v>
      </c>
    </row>
    <row r="40" spans="1:1" x14ac:dyDescent="0.45">
      <c r="A40" t="s">
        <v>296</v>
      </c>
    </row>
    <row r="41" spans="1:1" x14ac:dyDescent="0.45">
      <c r="A41" t="s">
        <v>297</v>
      </c>
    </row>
    <row r="42" spans="1:1" x14ac:dyDescent="0.45">
      <c r="A42" t="s">
        <v>298</v>
      </c>
    </row>
    <row r="43" spans="1:1" x14ac:dyDescent="0.45">
      <c r="A43" t="s">
        <v>299</v>
      </c>
    </row>
    <row r="44" spans="1:1" x14ac:dyDescent="0.45">
      <c r="A44" t="s">
        <v>300</v>
      </c>
    </row>
    <row r="45" spans="1:1" x14ac:dyDescent="0.45">
      <c r="A45" t="s">
        <v>301</v>
      </c>
    </row>
    <row r="46" spans="1:1" x14ac:dyDescent="0.45">
      <c r="A46" t="s">
        <v>302</v>
      </c>
    </row>
    <row r="47" spans="1:1" x14ac:dyDescent="0.45">
      <c r="A47" t="s">
        <v>303</v>
      </c>
    </row>
    <row r="48" spans="1:1" x14ac:dyDescent="0.45">
      <c r="A48" t="s">
        <v>304</v>
      </c>
    </row>
    <row r="49" spans="1:1" x14ac:dyDescent="0.45">
      <c r="A49" t="s">
        <v>305</v>
      </c>
    </row>
    <row r="50" spans="1:1" x14ac:dyDescent="0.45">
      <c r="A50" t="s">
        <v>306</v>
      </c>
    </row>
    <row r="51" spans="1:1" x14ac:dyDescent="0.45">
      <c r="A51" t="s">
        <v>307</v>
      </c>
    </row>
    <row r="52" spans="1:1" x14ac:dyDescent="0.45">
      <c r="A52" t="s">
        <v>308</v>
      </c>
    </row>
    <row r="53" spans="1:1" x14ac:dyDescent="0.45">
      <c r="A53" t="s">
        <v>309</v>
      </c>
    </row>
    <row r="54" spans="1:1" x14ac:dyDescent="0.45">
      <c r="A54" t="s">
        <v>310</v>
      </c>
    </row>
    <row r="55" spans="1:1" x14ac:dyDescent="0.45">
      <c r="A55" t="s">
        <v>311</v>
      </c>
    </row>
    <row r="56" spans="1:1" x14ac:dyDescent="0.45">
      <c r="A56" t="s">
        <v>312</v>
      </c>
    </row>
    <row r="57" spans="1:1" x14ac:dyDescent="0.45">
      <c r="A57" t="s">
        <v>313</v>
      </c>
    </row>
    <row r="58" spans="1:1" x14ac:dyDescent="0.45">
      <c r="A58" t="s">
        <v>314</v>
      </c>
    </row>
    <row r="59" spans="1:1" x14ac:dyDescent="0.45">
      <c r="A59" t="s">
        <v>315</v>
      </c>
    </row>
    <row r="60" spans="1:1" x14ac:dyDescent="0.45">
      <c r="A60" t="s">
        <v>316</v>
      </c>
    </row>
    <row r="61" spans="1:1" x14ac:dyDescent="0.45">
      <c r="A61" t="s">
        <v>317</v>
      </c>
    </row>
    <row r="62" spans="1:1" x14ac:dyDescent="0.45">
      <c r="A62" t="s">
        <v>318</v>
      </c>
    </row>
    <row r="63" spans="1:1" x14ac:dyDescent="0.45">
      <c r="A63" t="s">
        <v>319</v>
      </c>
    </row>
    <row r="64" spans="1:1" x14ac:dyDescent="0.45">
      <c r="A64" t="s">
        <v>320</v>
      </c>
    </row>
    <row r="65" spans="1:1" x14ac:dyDescent="0.45">
      <c r="A65" t="s">
        <v>321</v>
      </c>
    </row>
    <row r="66" spans="1:1" x14ac:dyDescent="0.45">
      <c r="A66" t="s">
        <v>322</v>
      </c>
    </row>
    <row r="67" spans="1:1" x14ac:dyDescent="0.45">
      <c r="A67" t="s">
        <v>323</v>
      </c>
    </row>
    <row r="68" spans="1:1" x14ac:dyDescent="0.45">
      <c r="A68" t="s">
        <v>324</v>
      </c>
    </row>
    <row r="69" spans="1:1" x14ac:dyDescent="0.45">
      <c r="A69" t="s">
        <v>325</v>
      </c>
    </row>
    <row r="70" spans="1:1" x14ac:dyDescent="0.45">
      <c r="A70" t="s">
        <v>326</v>
      </c>
    </row>
    <row r="71" spans="1:1" x14ac:dyDescent="0.45">
      <c r="A71" t="s">
        <v>327</v>
      </c>
    </row>
    <row r="72" spans="1:1" x14ac:dyDescent="0.45">
      <c r="A72" t="s">
        <v>328</v>
      </c>
    </row>
    <row r="73" spans="1:1" x14ac:dyDescent="0.45">
      <c r="A73" t="s">
        <v>329</v>
      </c>
    </row>
    <row r="74" spans="1:1" x14ac:dyDescent="0.45">
      <c r="A74" t="s">
        <v>330</v>
      </c>
    </row>
    <row r="75" spans="1:1" x14ac:dyDescent="0.45">
      <c r="A75" t="s">
        <v>331</v>
      </c>
    </row>
    <row r="76" spans="1:1" x14ac:dyDescent="0.45">
      <c r="A76" t="s">
        <v>332</v>
      </c>
    </row>
    <row r="77" spans="1:1" x14ac:dyDescent="0.45">
      <c r="A77" t="s">
        <v>333</v>
      </c>
    </row>
    <row r="78" spans="1:1" x14ac:dyDescent="0.45">
      <c r="A78" t="s">
        <v>334</v>
      </c>
    </row>
    <row r="79" spans="1:1" x14ac:dyDescent="0.45">
      <c r="A79" t="s">
        <v>335</v>
      </c>
    </row>
    <row r="80" spans="1:1" x14ac:dyDescent="0.45">
      <c r="A80" t="s">
        <v>336</v>
      </c>
    </row>
    <row r="81" spans="1:1" x14ac:dyDescent="0.45">
      <c r="A81" t="s">
        <v>337</v>
      </c>
    </row>
    <row r="82" spans="1:1" x14ac:dyDescent="0.45">
      <c r="A82" t="s">
        <v>338</v>
      </c>
    </row>
    <row r="83" spans="1:1" x14ac:dyDescent="0.45">
      <c r="A83" t="s">
        <v>339</v>
      </c>
    </row>
    <row r="84" spans="1:1" x14ac:dyDescent="0.45">
      <c r="A84" t="s">
        <v>340</v>
      </c>
    </row>
    <row r="85" spans="1:1" x14ac:dyDescent="0.45">
      <c r="A85" t="s">
        <v>341</v>
      </c>
    </row>
    <row r="86" spans="1:1" x14ac:dyDescent="0.45">
      <c r="A86" t="s">
        <v>342</v>
      </c>
    </row>
    <row r="87" spans="1:1" x14ac:dyDescent="0.45">
      <c r="A87" t="s">
        <v>343</v>
      </c>
    </row>
    <row r="88" spans="1:1" x14ac:dyDescent="0.45">
      <c r="A88" t="s">
        <v>344</v>
      </c>
    </row>
    <row r="89" spans="1:1" x14ac:dyDescent="0.45">
      <c r="A89" t="s">
        <v>345</v>
      </c>
    </row>
    <row r="90" spans="1:1" x14ac:dyDescent="0.45">
      <c r="A90" t="s">
        <v>346</v>
      </c>
    </row>
    <row r="91" spans="1:1" x14ac:dyDescent="0.45">
      <c r="A91" t="s">
        <v>347</v>
      </c>
    </row>
    <row r="92" spans="1:1" x14ac:dyDescent="0.45">
      <c r="A92" t="s">
        <v>348</v>
      </c>
    </row>
    <row r="93" spans="1:1" x14ac:dyDescent="0.45">
      <c r="A93" t="s">
        <v>349</v>
      </c>
    </row>
    <row r="94" spans="1:1" x14ac:dyDescent="0.45">
      <c r="A94" t="s">
        <v>350</v>
      </c>
    </row>
    <row r="95" spans="1:1" x14ac:dyDescent="0.45">
      <c r="A95" t="s">
        <v>351</v>
      </c>
    </row>
    <row r="96" spans="1:1" x14ac:dyDescent="0.45">
      <c r="A96" t="s">
        <v>352</v>
      </c>
    </row>
    <row r="97" spans="1:1" x14ac:dyDescent="0.45">
      <c r="A97" t="s">
        <v>353</v>
      </c>
    </row>
    <row r="98" spans="1:1" x14ac:dyDescent="0.45">
      <c r="A98" t="s">
        <v>354</v>
      </c>
    </row>
    <row r="99" spans="1:1" x14ac:dyDescent="0.45">
      <c r="A99" t="s">
        <v>355</v>
      </c>
    </row>
    <row r="100" spans="1:1" x14ac:dyDescent="0.45">
      <c r="A100" t="s">
        <v>356</v>
      </c>
    </row>
    <row r="101" spans="1:1" x14ac:dyDescent="0.45">
      <c r="A101" t="s">
        <v>357</v>
      </c>
    </row>
    <row r="102" spans="1:1" x14ac:dyDescent="0.45">
      <c r="A102" t="s">
        <v>358</v>
      </c>
    </row>
    <row r="103" spans="1:1" x14ac:dyDescent="0.45">
      <c r="A103" t="s">
        <v>359</v>
      </c>
    </row>
    <row r="104" spans="1:1" x14ac:dyDescent="0.45">
      <c r="A104" t="s">
        <v>360</v>
      </c>
    </row>
    <row r="105" spans="1:1" x14ac:dyDescent="0.45">
      <c r="A105" t="s">
        <v>361</v>
      </c>
    </row>
    <row r="106" spans="1:1" x14ac:dyDescent="0.45">
      <c r="A106" t="s">
        <v>362</v>
      </c>
    </row>
    <row r="107" spans="1:1" x14ac:dyDescent="0.45">
      <c r="A107" t="s">
        <v>363</v>
      </c>
    </row>
    <row r="108" spans="1:1" x14ac:dyDescent="0.45">
      <c r="A108" t="s">
        <v>364</v>
      </c>
    </row>
    <row r="109" spans="1:1" x14ac:dyDescent="0.45">
      <c r="A109" t="s">
        <v>365</v>
      </c>
    </row>
    <row r="110" spans="1:1" x14ac:dyDescent="0.45">
      <c r="A110" t="s">
        <v>366</v>
      </c>
    </row>
    <row r="111" spans="1:1" x14ac:dyDescent="0.45">
      <c r="A111" t="s">
        <v>367</v>
      </c>
    </row>
    <row r="112" spans="1:1" x14ac:dyDescent="0.45">
      <c r="A112" t="s">
        <v>368</v>
      </c>
    </row>
    <row r="113" spans="1:1" x14ac:dyDescent="0.45">
      <c r="A113" t="s">
        <v>369</v>
      </c>
    </row>
    <row r="114" spans="1:1" x14ac:dyDescent="0.45">
      <c r="A114" t="s">
        <v>370</v>
      </c>
    </row>
    <row r="115" spans="1:1" x14ac:dyDescent="0.45">
      <c r="A115" t="s">
        <v>371</v>
      </c>
    </row>
    <row r="116" spans="1:1" x14ac:dyDescent="0.45">
      <c r="A116" t="s">
        <v>372</v>
      </c>
    </row>
    <row r="117" spans="1:1" x14ac:dyDescent="0.45">
      <c r="A117" t="s">
        <v>373</v>
      </c>
    </row>
    <row r="118" spans="1:1" x14ac:dyDescent="0.45">
      <c r="A118" t="s">
        <v>374</v>
      </c>
    </row>
    <row r="119" spans="1:1" x14ac:dyDescent="0.45">
      <c r="A119" t="s">
        <v>375</v>
      </c>
    </row>
    <row r="120" spans="1:1" x14ac:dyDescent="0.45">
      <c r="A120" t="s">
        <v>376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Cartographie des formations</vt:lpstr>
      <vt:lpstr>voeux</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LUCCHINI</cp:lastModifiedBy>
  <dcterms:created xsi:type="dcterms:W3CDTF">2026-01-22T07:56:06Z</dcterms:created>
  <dcterms:modified xsi:type="dcterms:W3CDTF">2026-01-22T18:03:44Z</dcterms:modified>
</cp:coreProperties>
</file>